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27" i="280" l="1"/>
  <c r="C640" i="280" s="1"/>
  <c r="C625" i="280"/>
  <c r="C638" i="280" s="1"/>
  <c r="C623" i="280"/>
  <c r="C636" i="280" s="1"/>
  <c r="C611" i="280"/>
  <c r="C600" i="280"/>
  <c r="C613" i="280" s="1"/>
  <c r="C598" i="280"/>
  <c r="C596" i="280"/>
  <c r="C609" i="280" s="1"/>
  <c r="C573" i="280"/>
  <c r="C586" i="280" s="1"/>
  <c r="C571" i="280"/>
  <c r="C584" i="280" s="1"/>
  <c r="C569" i="280"/>
  <c r="C582" i="280" s="1"/>
  <c r="C557" i="280"/>
  <c r="C546" i="280"/>
  <c r="C559" i="280" s="1"/>
  <c r="C544" i="280"/>
  <c r="C542" i="280"/>
  <c r="C555" i="280" s="1"/>
  <c r="C519" i="280"/>
  <c r="C532" i="280" s="1"/>
  <c r="C517" i="280"/>
  <c r="C530" i="280" s="1"/>
  <c r="C515" i="280"/>
  <c r="C528" i="280" s="1"/>
  <c r="C503" i="280"/>
  <c r="C492" i="280"/>
  <c r="C505" i="280" s="1"/>
  <c r="C490" i="280"/>
  <c r="C488" i="280"/>
  <c r="C501" i="280" s="1"/>
  <c r="C465" i="280"/>
  <c r="C478" i="280" s="1"/>
  <c r="C463" i="280"/>
  <c r="C476" i="280" s="1"/>
  <c r="C461" i="280"/>
  <c r="C474" i="280" s="1"/>
  <c r="C449" i="280"/>
  <c r="C438" i="280"/>
  <c r="C451" i="280" s="1"/>
  <c r="C436" i="280"/>
  <c r="C434" i="280"/>
  <c r="C447" i="280" s="1"/>
  <c r="C411" i="280"/>
  <c r="C424" i="280" s="1"/>
  <c r="C409" i="280"/>
  <c r="C422" i="280" s="1"/>
  <c r="C407" i="280"/>
  <c r="C420" i="280" s="1"/>
  <c r="C395" i="280"/>
  <c r="C384" i="280"/>
  <c r="C397" i="280" s="1"/>
  <c r="C382" i="280"/>
  <c r="C380" i="280"/>
  <c r="C393" i="280" s="1"/>
  <c r="C357" i="280"/>
  <c r="C370" i="280" s="1"/>
  <c r="C355" i="280"/>
  <c r="C368" i="280" s="1"/>
  <c r="C353" i="280"/>
  <c r="C366" i="280" s="1"/>
  <c r="C341" i="280"/>
  <c r="C330" i="280"/>
  <c r="C343" i="280" s="1"/>
  <c r="C328" i="280"/>
  <c r="C326" i="280"/>
  <c r="C339" i="280" s="1"/>
  <c r="C303" i="280"/>
  <c r="C316" i="280" s="1"/>
  <c r="C301" i="280"/>
  <c r="C314" i="280" s="1"/>
  <c r="C299" i="280"/>
  <c r="C312" i="280" s="1"/>
  <c r="C287" i="280"/>
  <c r="C276" i="280"/>
  <c r="C289" i="280" s="1"/>
  <c r="C274" i="280"/>
  <c r="C272" i="280"/>
  <c r="C285" i="280" s="1"/>
  <c r="C249" i="280"/>
  <c r="C262" i="280" s="1"/>
  <c r="C247" i="280"/>
  <c r="C260" i="280" s="1"/>
  <c r="C245" i="280"/>
  <c r="C258" i="280" s="1"/>
  <c r="C233" i="280"/>
  <c r="C222" i="280"/>
  <c r="C235" i="280" s="1"/>
  <c r="C220" i="280"/>
  <c r="C218" i="280"/>
  <c r="C231" i="280" s="1"/>
  <c r="C195" i="280"/>
  <c r="C208" i="280" s="1"/>
  <c r="C193" i="280"/>
  <c r="C206" i="280" s="1"/>
  <c r="C191" i="280"/>
  <c r="C204" i="280" s="1"/>
  <c r="C179" i="280"/>
  <c r="C168" i="280"/>
  <c r="C181" i="280" s="1"/>
  <c r="C166" i="280"/>
  <c r="C164" i="280"/>
  <c r="C177" i="280" s="1"/>
  <c r="C141" i="280"/>
  <c r="C154" i="280" s="1"/>
  <c r="C139" i="280"/>
  <c r="C152" i="280" s="1"/>
  <c r="C137" i="280"/>
  <c r="C150" i="280" s="1"/>
  <c r="C125" i="280"/>
  <c r="C114" i="280"/>
  <c r="C127" i="280" s="1"/>
  <c r="C112" i="280"/>
  <c r="C110" i="280"/>
  <c r="C123" i="280" s="1"/>
  <c r="C87" i="280"/>
  <c r="C100" i="280" s="1"/>
  <c r="C85" i="280"/>
  <c r="C98" i="280" s="1"/>
  <c r="C83" i="280"/>
  <c r="C96" i="280" s="1"/>
  <c r="C71" i="280"/>
  <c r="C60" i="280"/>
  <c r="C73" i="280" s="1"/>
  <c r="C58" i="280"/>
  <c r="C56" i="280"/>
  <c r="C69" i="280" s="1"/>
  <c r="C33" i="280"/>
  <c r="C46" i="280" s="1"/>
  <c r="C31" i="280"/>
  <c r="C44" i="280" s="1"/>
  <c r="C29" i="280"/>
  <c r="C42" i="280" s="1"/>
  <c r="C17" i="280"/>
  <c r="C6" i="280"/>
  <c r="C19" i="280" s="1"/>
  <c r="C4" i="280"/>
  <c r="C2" i="280"/>
  <c r="C15" i="280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F2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<sst xmlns="http://schemas.openxmlformats.org/spreadsheetml/2006/main" count="2583" uniqueCount="505">
  <si>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</si>
  <si>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</si>
  <si>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</si>
  <si>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</si>
  <si>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</si>
  <si>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</si>
  <si>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</si>
  <si>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</si>
  <si>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</si>
  <si>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</si>
  <si>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</si>
  <si>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</si>
  <si>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</si>
  <si>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</si>
  <si>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</si>
  <si>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</si>
  <si>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</si>
  <si>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</si>
  <si>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</si>
  <si>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</si>
  <si>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</si>
  <si>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</si>
  <si>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</si>
  <si>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</si>
  <si>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</si>
  <si>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</si>
  <si>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</si>
  <si>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</si>
  <si>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</si>
  <si>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</si>
  <si>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</si>
  <si>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</si>
  <si>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</si>
  <si>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</si>
  <si>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</si>
  <si>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</si>
  <si>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</si>
  <si>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</si>
  <si>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</si>
  <si>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</si>
  <si>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</si>
  <si>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</si>
  <si>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</si>
  <si>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</si>
  <si>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</si>
  <si>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</si>
  <si>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</si>
  <si>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</si>
  <si>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</si>
  <si>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</si>
  <si>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</si>
  <si>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</si>
  <si>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</si>
  <si>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</si>
  <si>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</si>
  <si>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</si>
  <si>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</si>
  <si>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</si>
  <si>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</si>
  <si>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</si>
  <si>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</si>
  <si>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</si>
  <si>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</si>
  <si>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</si>
  <si>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</si>
  <si>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</si>
  <si>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</si>
  <si>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</si>
  <si>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</si>
  <si>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</si>
  <si>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</si>
  <si>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</si>
  <si>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</si>
  <si>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</si>
  <si>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</si>
  <si>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</si>
  <si>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</si>
  <si>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</si>
  <si>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</si>
  <si>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</si>
  <si>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</si>
  <si>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</si>
  <si>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</si>
  <si>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</si>
  <si>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</si>
  <si>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</si>
  <si>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</si>
  <si>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</si>
  <si>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</si>
  <si>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</si>
  <si>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</si>
  <si>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</si>
  <si>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</si>
  <si>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</si>
  <si>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</si>
  <si>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</si>
  <si>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</si>
  <si>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</si>
  <si>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</si>
  <si>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</si>
  <si>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</si>
  <si>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</si>
  <si>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</si>
  <si>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</si>
  <si>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</si>
  <si>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</si>
  <si>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</si>
  <si>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</si>
  <si>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</si>
  <si>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</si>
  <si>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</si>
  <si>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</si>
  <si>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</si>
  <si>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</si>
  <si>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</si>
  <si>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</si>
  <si>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</si>
  <si>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</si>
  <si>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</si>
  <si>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</si>
  <si>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</si>
  <si>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</si>
  <si>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</si>
  <si>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</si>
  <si>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</si>
  <si>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</si>
  <si>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</si>
  <si>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</si>
  <si>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</si>
  <si>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</si>
  <si>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</si>
  <si>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</si>
  <si>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</si>
  <si>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</si>
  <si>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</si>
  <si>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</si>
  <si>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</si>
  <si>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</si>
  <si>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</si>
  <si>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</si>
  <si>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</si>
  <si>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</si>
  <si>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</si>
  <si>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</si>
  <si>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</si>
  <si>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</si>
  <si>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</si>
  <si>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</si>
  <si>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</si>
  <si>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</si>
  <si>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</si>
  <si>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</si>
  <si>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</si>
  <si>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</si>
  <si>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</si>
  <si>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</si>
  <si>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</si>
  <si>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</si>
  <si>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</si>
  <si>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</si>
  <si>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</si>
  <si>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</si>
  <si>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</si>
  <si>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</si>
  <si>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</si>
  <si>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</si>
  <si>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</si>
  <si>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</si>
  <si>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</si>
  <si>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</si>
  <si>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</si>
  <si>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</si>
  <si>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</si>
  <si>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</si>
  <si>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</si>
  <si>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</si>
  <si>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</si>
  <si>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</si>
  <si>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</si>
  <si>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</si>
  <si>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</si>
  <si>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</si>
  <si>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</si>
  <si>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</si>
  <si>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</si>
  <si>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</si>
  <si>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</si>
  <si>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</si>
  <si>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</si>
  <si>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</si>
  <si>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</si>
  <si>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</si>
  <si>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</si>
  <si>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</si>
  <si>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</si>
  <si>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</si>
  <si>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</si>
  <si>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</si>
  <si>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</si>
  <si>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</si>
  <si>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</si>
  <si>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</si>
  <si>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</si>
  <si>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</si>
  <si>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</si>
  <si>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</si>
  <si>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</si>
  <si>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</si>
  <si>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</si>
  <si>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</si>
  <si>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</si>
  <si>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</si>
  <si>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</si>
  <si>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</si>
  <si>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</si>
  <si>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</si>
  <si>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</si>
  <si>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</si>
  <si>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</si>
  <si>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</si>
  <si>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</si>
  <si>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</si>
  <si>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</si>
  <si>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</si>
  <si>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</si>
  <si>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</si>
  <si>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</si>
  <si>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</si>
  <si>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</si>
  <si>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</si>
  <si>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</si>
  <si>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</si>
  <si>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</si>
  <si>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</si>
  <si>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</si>
  <si>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</si>
  <si>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</si>
  <si>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</si>
  <si>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</si>
  <si>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</si>
  <si>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</si>
  <si>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</si>
  <si>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</si>
  <si>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</si>
  <si>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</si>
  <si>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</si>
  <si>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</si>
  <si>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</si>
  <si>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</si>
  <si>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</si>
  <si>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</si>
  <si>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</si>
  <si>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</si>
  <si>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</si>
  <si>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</si>
  <si>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</si>
  <si>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</si>
  <si>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</si>
  <si>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</si>
  <si>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</si>
  <si>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</si>
  <si>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</si>
  <si>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</si>
  <si>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</si>
  <si>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</si>
  <si>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</si>
  <si>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</si>
  <si>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</si>
  <si>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</si>
  <si>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</si>
  <si>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</si>
  <si>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</si>
  <si>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</si>
  <si>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</si>
  <si>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</si>
  <si>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</si>
  <si>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</si>
  <si>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</si>
  <si>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</si>
  <si>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</si>
  <si>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</si>
  <si>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</si>
  <si>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</si>
  <si>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</si>
  <si>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</si>
  <si>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</si>
  <si>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</si>
  <si>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</si>
  <si>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</si>
  <si>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</si>
  <si>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</si>
  <si>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</si>
  <si>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</si>
  <si>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</si>
  <si>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</si>
  <si>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</si>
  <si>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</si>
  <si>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</si>
  <si>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</si>
  <si>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</si>
  <si>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</si>
  <si>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</si>
  <si>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</si>
  <si>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</si>
  <si>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</si>
  <si>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</si>
  <si>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</si>
  <si>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</si>
  <si>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</si>
  <si>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</si>
  <si>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</si>
  <si>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</si>
  <si>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</si>
  <si>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</si>
  <si>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</si>
  <si>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</si>
  <si>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</si>
  <si>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</si>
  <si>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</si>
  <si>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</si>
  <si>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</si>
  <si>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</si>
  <si>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</si>
  <si>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</si>
  <si>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</si>
  <si>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</si>
  <si>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</si>
  <si>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</si>
  <si>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</si>
  <si>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</si>
  <si>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</si>
  <si>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</si>
  <si>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</si>
  <si>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</si>
  <si>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</si>
  <si>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</si>
  <si>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</si>
  <si>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</si>
  <si>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</si>
  <si>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</si>
  <si>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</si>
  <si>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</si>
  <si>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</si>
  <si>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</si>
  <si>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</si>
  <si>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</si>
  <si>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</si>
  <si>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</si>
  <si>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</si>
  <si>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</si>
  <si>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</si>
  <si>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</si>
  <si>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</si>
  <si>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</si>
  <si>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</si>
  <si>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</si>
  <si>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</si>
  <si>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</si>
  <si>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</si>
  <si>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</si>
  <si>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</si>
  <si>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</si>
  <si>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</si>
  <si>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</si>
  <si>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</si>
  <si>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</si>
  <si>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</si>
  <si>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</si>
  <si>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</si>
  <si>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</si>
  <si>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</si>
  <si>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</si>
  <si>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</si>
  <si>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</si>
  <si>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</si>
  <si>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</si>
  <si>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</si>
  <si>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</si>
  <si>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</si>
  <si>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</si>
  <si>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</si>
  <si>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</si>
  <si>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</si>
  <si>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</si>
  <si>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</si>
  <si>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</si>
  <si>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</si>
  <si>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</si>
  <si>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</si>
  <si>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</si>
  <si>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</si>
  <si>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</si>
  <si>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</si>
  <si>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</si>
  <si>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</si>
  <si>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</si>
  <si>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 xml:space="preserve">00001 </t>
  </si>
  <si>
    <t xml:space="preserve">Акмалутдинов Динияр Рамилевич                     </t>
  </si>
  <si>
    <t xml:space="preserve">7а род              </t>
  </si>
  <si>
    <t>000651</t>
  </si>
  <si>
    <t xml:space="preserve">Бариев Булат Рустемович                           </t>
  </si>
  <si>
    <t xml:space="preserve">00004 </t>
  </si>
  <si>
    <t xml:space="preserve">Воробьев Матвей Геннадьевич                       </t>
  </si>
  <si>
    <t>000796</t>
  </si>
  <si>
    <t xml:space="preserve">Галаутдинов Карим Рамилевич                       </t>
  </si>
  <si>
    <t xml:space="preserve">00005 </t>
  </si>
  <si>
    <t xml:space="preserve">Гашигуллин Кирам Ильнурович                       </t>
  </si>
  <si>
    <t xml:space="preserve">00006 </t>
  </si>
  <si>
    <t xml:space="preserve">Димухаметов Раиль Русланович                      </t>
  </si>
  <si>
    <t xml:space="preserve">00007 </t>
  </si>
  <si>
    <t xml:space="preserve">Загидуллин Хасан Азатович                         </t>
  </si>
  <si>
    <t xml:space="preserve">00008 </t>
  </si>
  <si>
    <t xml:space="preserve">Закиров Нияз Алмазович                            </t>
  </si>
  <si>
    <t>000834</t>
  </si>
  <si>
    <t xml:space="preserve">Замалиев Идрис Раисович                           </t>
  </si>
  <si>
    <t xml:space="preserve">00010 </t>
  </si>
  <si>
    <t xml:space="preserve">Исмагилов Амир Альбертович                        </t>
  </si>
  <si>
    <t xml:space="preserve">00011 </t>
  </si>
  <si>
    <t xml:space="preserve">Леухин Алексей Олегович                           </t>
  </si>
  <si>
    <t xml:space="preserve">00013 </t>
  </si>
  <si>
    <t xml:space="preserve">Мифтахов Карим Марсович                           </t>
  </si>
  <si>
    <t xml:space="preserve">00015 </t>
  </si>
  <si>
    <t xml:space="preserve">Мустафин Самат Радикович                          </t>
  </si>
  <si>
    <t xml:space="preserve">00016 </t>
  </si>
  <si>
    <t xml:space="preserve">Мухаметгалиев Аяз Алмазович                       </t>
  </si>
  <si>
    <t xml:space="preserve">00017 </t>
  </si>
  <si>
    <t xml:space="preserve">Пимурзин Руслан Андреевич                         </t>
  </si>
  <si>
    <t xml:space="preserve">00018 </t>
  </si>
  <si>
    <t xml:space="preserve">Пимурзин Рустам Андреевич                         </t>
  </si>
  <si>
    <t xml:space="preserve">00019 </t>
  </si>
  <si>
    <t xml:space="preserve">Сахабутдинов Марат Ринатович                      </t>
  </si>
  <si>
    <t xml:space="preserve">00022 </t>
  </si>
  <si>
    <t xml:space="preserve">Фазлиев Зуфар Рустамович                          </t>
  </si>
  <si>
    <t xml:space="preserve">00024 </t>
  </si>
  <si>
    <t xml:space="preserve">Шамсиев Асгат Марсович                            </t>
  </si>
  <si>
    <t xml:space="preserve">00025 </t>
  </si>
  <si>
    <t xml:space="preserve">Юсупов Ислам Равилович                            </t>
  </si>
  <si>
    <t>00001</t>
  </si>
  <si>
    <t>00004</t>
  </si>
  <si>
    <t>00005</t>
  </si>
  <si>
    <t>00006</t>
  </si>
  <si>
    <t>00007</t>
  </si>
  <si>
    <t>00008</t>
  </si>
  <si>
    <t>00010</t>
  </si>
  <si>
    <t>00011</t>
  </si>
  <si>
    <t>00013</t>
  </si>
  <si>
    <t>00015</t>
  </si>
  <si>
    <t>00016</t>
  </si>
  <si>
    <t>00017</t>
  </si>
  <si>
    <t>00018</t>
  </si>
  <si>
    <t>00019</t>
  </si>
  <si>
    <t>00022</t>
  </si>
  <si>
    <t>00024</t>
  </si>
  <si>
    <t>00025</t>
  </si>
  <si>
    <t xml:space="preserve">00009 </t>
  </si>
  <si>
    <t xml:space="preserve">Ильин Арслан Русланович                           </t>
  </si>
  <si>
    <t xml:space="preserve">00012 </t>
  </si>
  <si>
    <t xml:space="preserve">Лукьянов Кирилл Дмитриевич                        </t>
  </si>
  <si>
    <t xml:space="preserve">00021 </t>
  </si>
  <si>
    <t xml:space="preserve">Фаизов Рамиль Рафаэлевич                          </t>
  </si>
  <si>
    <t xml:space="preserve">00023 </t>
  </si>
  <si>
    <t xml:space="preserve">Хамидуллин Самат Ильнарович                       </t>
  </si>
  <si>
    <t>00009</t>
  </si>
  <si>
    <t>00012</t>
  </si>
  <si>
    <t>00021</t>
  </si>
  <si>
    <t>00023</t>
  </si>
  <si>
    <t>ЛС: 00001; ФИО обучающегося: Акмалутдинов Динияр Рамилевич                     ; Назначение: 7а род февр; КБК: 82100000000000003131; ОКТМО: 92701000</t>
  </si>
  <si>
    <t>Сумма: 2838 руб. 00 коп.</t>
  </si>
  <si>
    <t>ЛС: 000651; ФИО обучающегося: Бариев Булат Рустемович                           ; Назначение: 7а род февр; КБК: 82100000000000003131; ОКТМО: 92701000</t>
  </si>
  <si>
    <t>ЛС: 00004; ФИО обучающегося: Воробьев Матвей Геннадьевич                       ; Назначение: 7а род февр; КБК: 82100000000000003131; ОКТМО: 92701000</t>
  </si>
  <si>
    <t>ЛС: 000796; ФИО обучающегося: Галаутдинов Карим Рамилевич                       ; Назначение: 7а род февр; КБК: 82100000000000003131; ОКТМО: 92701000</t>
  </si>
  <si>
    <t>Сумма: 4413 руб. 75 коп.</t>
  </si>
  <si>
    <t>ЛС: 00005; ФИО обучающегося: Гашигуллин Кирам Ильнурович                       ; Назначение: 7а род февр; КБК: 82100000000000003131; ОКТМО: 92701000</t>
  </si>
  <si>
    <t>ЛС: 00006; ФИО обучающегося: Димухаметов Раиль Русланович                      ; Назначение: 7а род февр; КБК: 82100000000000003131; ОКТМО: 92701000</t>
  </si>
  <si>
    <t>Сумма: 2540 руб. 24 коп.</t>
  </si>
  <si>
    <t>ЛС: 00007; ФИО обучающегося: Загидуллин Хасан Азатович                         ; Назначение: 7а род февр; КБК: 82100000000000003131; ОКТМО: 92701000</t>
  </si>
  <si>
    <t>Сумма: 21467 руб. 41 коп.</t>
  </si>
  <si>
    <t>ЛС: 00008; ФИО обучающегося: Закиров Нияз Алмазович                            ; Назначение: 7а род февр; КБК: 82100000000000003131; ОКТМО: 92701000</t>
  </si>
  <si>
    <t>Сумма: 10361 руб. 30 коп.</t>
  </si>
  <si>
    <t>ЛС: 000834; ФИО обучающегося: Замалиев Идрис Раисович                           ; Назначение: 7а род февр; КБК: 82100000000000003131; ОКТМО: 92701000</t>
  </si>
  <si>
    <t>ЛС: 00009; ФИО обучающегося: Ильин Арслан Русланович                           ; Назначение: 7а род февр; КБК: 82100000000000003131; ОКТМО: 92701000</t>
  </si>
  <si>
    <t>ЛС: 00010; ФИО обучающегося: Исмагилов Амир Альбертович                        ; Назначение: 7а род февр; КБК: 82100000000000003131; ОКТМО: 92701000</t>
  </si>
  <si>
    <t>ЛС: 00011; ФИО обучающегося: Леухин Алексей Олегович                           ; Назначение: 7а род февр; КБК: 82100000000000003131; ОКТМО: 92701000</t>
  </si>
  <si>
    <t>ЛС: 00012; ФИО обучающегося: Лукьянов Кирилл Дмитриевич                        ; Назначение: 7а род февр; КБК: 82100000000000003131; ОКТМО: 92701000</t>
  </si>
  <si>
    <t>Сумма: 2803 руб. 42 коп.</t>
  </si>
  <si>
    <t>ЛС: 00013; ФИО обучающегося: Мифтахов Карим Марсович                           ; Назначение: 7а род февр; КБК: 82100000000000003131; ОКТМО: 92701000</t>
  </si>
  <si>
    <t>Сумма: 2540 руб. 00 коп.</t>
  </si>
  <si>
    <t>ЛС: 00015; ФИО обучающегося: Мустафин Самат Радикович                          ; Назначение: 7а род февр; КБК: 82100000000000003131; ОКТМО: 92701000</t>
  </si>
  <si>
    <t>Сумма: 7914 руб. 33 коп.</t>
  </si>
  <si>
    <t>ЛС: 00016; ФИО обучающегося: Мухаметгалиев Аяз Алмазович                       ; Назначение: 7а род февр; КБК: 82100000000000003131; ОКТМО: 92701000</t>
  </si>
  <si>
    <t>Сумма: 2526 руб. 81 коп.</t>
  </si>
  <si>
    <t>ЛС: 00017; ФИО обучающегося: Пимурзин Руслан Андреевич                         ; Назначение: 7а род февр; КБК: 82100000000000003131; ОКТМО: 92701000</t>
  </si>
  <si>
    <t>ЛС: 00018; ФИО обучающегося: Пимурзин Рустам Андреевич                         ; Назначение: 7а род февр; КБК: 82100000000000003131; ОКТМО: 92701000</t>
  </si>
  <si>
    <t>ЛС: 00019; ФИО обучающегося: Сахабутдинов Марат Ринатович                      ; Назначение: 7а род февр; КБК: 82100000000000003131; ОКТМО: 92701000</t>
  </si>
  <si>
    <t>ЛС: 00022; ФИО обучающегося: Фазлиев Зуфар Рустамович                          ; Назначение: 7а род февр; КБК: 82100000000000003131; ОКТМО: 92701000</t>
  </si>
  <si>
    <t>ЛС: 00021; ФИО обучающегося: Фаизов Рамиль Рафаэлевич                          ; Назначение: 7а род февр; КБК: 82100000000000003131; ОКТМО: 92701000</t>
  </si>
  <si>
    <t>ЛС: 00023; ФИО обучающегося: Хамидуллин Самат Ильнарович                       ; Назначение: 7а род февр; КБК: 82100000000000003131; ОКТМО: 92701000</t>
  </si>
  <si>
    <t>ЛС: 00024; ФИО обучающегося: Шамсиев Асгат Марсович                            ; Назначение: 7а род февр; КБК: 82100000000000003131; ОКТМО: 92701000</t>
  </si>
  <si>
    <t>ЛС: 00025; ФИО обучающегося: Юсупов Ислам Равилович                            ; Назначение: 7а род февр; КБК: 82100000000000003131; ОКТМО: 92701000</t>
  </si>
  <si>
    <t>Сумма: 3020 руб. 39 коп.</t>
  </si>
  <si>
    <t>март</t>
  </si>
  <si>
    <t>7а род март</t>
  </si>
  <si>
    <t xml:space="preserve">00014 </t>
  </si>
  <si>
    <t xml:space="preserve">Мустафин Карим Фаридович                          </t>
  </si>
  <si>
    <t>00014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</si>
</sst>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1" headerRowDxfId="23" dataDxfId="21" totalsRowDxfId="19" headerRowBorderDxfId="22" tableBorderDxfId="20">
  <autoFilter ref="A6:H31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tabSelected="1" workbookViewId="0">
      <selection activeCell="A2" sqref="A2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396</v>
      </c>
      <c r="B2" s="92" t="s">
        <v>397</v>
      </c>
      <c r="C2" s="92" t="s">
        <v>398</v>
      </c>
      <c r="D2" s="92" t="s">
        <v>500</v>
      </c>
      <c r="E2" s="93">
        <v>2492.56</v>
      </c>
      <c r="F2" s="98" t="str">
        <f>TRIM(A2)</f>
        <v>00001</v>
      </c>
      <c r="G2" s="31" t="str">
        <f t="shared" ref="G2:G46" si="0">B2</f>
        <v xml:space="preserve">Акмалутдинов Динияр Рамилевич                     </v>
      </c>
      <c r="H2" s="31" t="str">
        <f>CONCATENATE(TRIM(C2)," ",D2)</f>
        <v>7а род март</v>
      </c>
      <c r="I2" s="94" t="s">
        <v>387</v>
      </c>
      <c r="J2" s="31">
        <v>92701000</v>
      </c>
      <c r="M2" s="31">
        <f t="shared" ref="M2:M63" si="1">E2</f>
        <v>2492.56</v>
      </c>
    </row>
    <row r="3" spans="1:13" x14ac:dyDescent="0.25">
      <c r="A3" s="92" t="s">
        <v>399</v>
      </c>
      <c r="B3" s="92" t="s">
        <v>400</v>
      </c>
      <c r="C3" s="92" t="s">
        <v>398</v>
      </c>
      <c r="D3" s="92" t="s">
        <v>500</v>
      </c>
      <c r="E3" s="93">
        <v>2492.56</v>
      </c>
      <c r="F3" s="98" t="str">
        <f t="shared" ref="F3:F66" si="2">TRIM(A3)</f>
        <v>000651</v>
      </c>
      <c r="G3" s="31" t="str">
        <f t="shared" si="0"/>
        <v xml:space="preserve">Бариев Булат Рустемович                           </v>
      </c>
      <c r="H3" s="31" t="str">
        <f t="shared" ref="H3:H66" si="3">CONCATENATE(TRIM(C3)," ",D3)</f>
        <v>7а род март</v>
      </c>
      <c r="I3" s="94" t="s">
        <v>387</v>
      </c>
      <c r="J3" s="31">
        <v>92701000</v>
      </c>
      <c r="M3" s="31">
        <f t="shared" si="1"/>
        <v>2492.56</v>
      </c>
    </row>
    <row r="4" spans="1:13" x14ac:dyDescent="0.25">
      <c r="A4" s="92" t="s">
        <v>401</v>
      </c>
      <c r="B4" s="92" t="s">
        <v>402</v>
      </c>
      <c r="C4" s="92" t="s">
        <v>398</v>
      </c>
      <c r="D4" s="92" t="s">
        <v>500</v>
      </c>
      <c r="E4" s="93">
        <v>2730.56</v>
      </c>
      <c r="F4" s="98" t="str">
        <f t="shared" si="2"/>
        <v>00004</v>
      </c>
      <c r="G4" s="31" t="str">
        <f t="shared" si="0"/>
        <v xml:space="preserve">Воробьев Матвей Геннадьевич                       </v>
      </c>
      <c r="H4" s="31" t="str">
        <f t="shared" si="3"/>
        <v>7а род март</v>
      </c>
      <c r="I4" s="94" t="s">
        <v>387</v>
      </c>
      <c r="J4" s="31">
        <v>92701000</v>
      </c>
      <c r="M4" s="31">
        <f t="shared" si="1"/>
        <v>2730.56</v>
      </c>
    </row>
    <row r="5" spans="1:13" x14ac:dyDescent="0.25">
      <c r="A5" s="92" t="s">
        <v>403</v>
      </c>
      <c r="B5" s="92" t="s">
        <v>404</v>
      </c>
      <c r="C5" s="92" t="s">
        <v>398</v>
      </c>
      <c r="D5" s="92" t="s">
        <v>500</v>
      </c>
      <c r="E5" s="93">
        <v>6722.82</v>
      </c>
      <c r="F5" s="98" t="str">
        <f t="shared" si="2"/>
        <v>000796</v>
      </c>
      <c r="G5" s="31" t="str">
        <f t="shared" si="0"/>
        <v xml:space="preserve">Галаутдинов Карим Рамилевич                       </v>
      </c>
      <c r="H5" s="31" t="str">
        <f t="shared" si="3"/>
        <v>7а род март</v>
      </c>
      <c r="I5" s="94" t="s">
        <v>387</v>
      </c>
      <c r="J5" s="31">
        <v>92701000</v>
      </c>
      <c r="M5" s="31">
        <f t="shared" si="1"/>
        <v>6722.82</v>
      </c>
    </row>
    <row r="6" spans="1:13" x14ac:dyDescent="0.25">
      <c r="A6" s="92" t="s">
        <v>405</v>
      </c>
      <c r="B6" s="92" t="s">
        <v>406</v>
      </c>
      <c r="C6" s="92" t="s">
        <v>398</v>
      </c>
      <c r="D6" s="92" t="s">
        <v>500</v>
      </c>
      <c r="E6" s="93">
        <v>5330.56</v>
      </c>
      <c r="F6" s="98" t="str">
        <f t="shared" si="2"/>
        <v>00005</v>
      </c>
      <c r="G6" s="31" t="str">
        <f t="shared" si="0"/>
        <v xml:space="preserve">Гашигуллин Кирам Ильнурович                       </v>
      </c>
      <c r="H6" s="31" t="str">
        <f t="shared" si="3"/>
        <v>7а род март</v>
      </c>
      <c r="I6" s="94" t="s">
        <v>387</v>
      </c>
      <c r="J6" s="31">
        <v>92701000</v>
      </c>
      <c r="M6" s="31">
        <f t="shared" si="1"/>
        <v>5330.56</v>
      </c>
    </row>
    <row r="7" spans="1:13" x14ac:dyDescent="0.25">
      <c r="A7" s="92" t="s">
        <v>407</v>
      </c>
      <c r="B7" s="92" t="s">
        <v>408</v>
      </c>
      <c r="C7" s="92" t="s">
        <v>398</v>
      </c>
      <c r="D7" s="92" t="s">
        <v>500</v>
      </c>
      <c r="E7" s="93">
        <v>2309.31</v>
      </c>
      <c r="F7" s="98" t="str">
        <f t="shared" si="2"/>
        <v>00006</v>
      </c>
      <c r="G7" s="31" t="str">
        <f t="shared" si="0"/>
        <v xml:space="preserve">Димухаметов Раиль Русланович                      </v>
      </c>
      <c r="H7" s="31" t="str">
        <f t="shared" si="3"/>
        <v>7а род март</v>
      </c>
      <c r="I7" s="94" t="s">
        <v>387</v>
      </c>
      <c r="J7" s="31">
        <v>92701000</v>
      </c>
      <c r="M7" s="31">
        <f t="shared" si="1"/>
        <v>2309.31</v>
      </c>
    </row>
    <row r="8" spans="1:13" x14ac:dyDescent="0.25">
      <c r="A8" s="92" t="s">
        <v>409</v>
      </c>
      <c r="B8" s="92" t="s">
        <v>410</v>
      </c>
      <c r="C8" s="92" t="s">
        <v>398</v>
      </c>
      <c r="D8" s="92" t="s">
        <v>500</v>
      </c>
      <c r="E8" s="93">
        <v>23959.97</v>
      </c>
      <c r="F8" s="98" t="str">
        <f t="shared" si="2"/>
        <v>00007</v>
      </c>
      <c r="G8" s="31" t="str">
        <f t="shared" si="0"/>
        <v xml:space="preserve">Загидуллин Хасан Азатович                         </v>
      </c>
      <c r="H8" s="31" t="str">
        <f t="shared" si="3"/>
        <v>7а род март</v>
      </c>
      <c r="I8" s="94" t="s">
        <v>387</v>
      </c>
      <c r="J8" s="31">
        <v>92701000</v>
      </c>
      <c r="M8" s="31">
        <f t="shared" si="1"/>
        <v>23959.97</v>
      </c>
    </row>
    <row r="9" spans="1:13" x14ac:dyDescent="0.25">
      <c r="A9" s="92" t="s">
        <v>411</v>
      </c>
      <c r="B9" s="92" t="s">
        <v>412</v>
      </c>
      <c r="C9" s="92" t="s">
        <v>398</v>
      </c>
      <c r="D9" s="92" t="s">
        <v>500</v>
      </c>
      <c r="E9" s="93">
        <v>12853.86</v>
      </c>
      <c r="F9" s="98" t="str">
        <f t="shared" si="2"/>
        <v>00008</v>
      </c>
      <c r="G9" s="31" t="str">
        <f t="shared" si="0"/>
        <v xml:space="preserve">Закиров Нияз Алмазович                            </v>
      </c>
      <c r="H9" s="31" t="str">
        <f t="shared" si="3"/>
        <v>7а род март</v>
      </c>
      <c r="I9" s="94" t="s">
        <v>387</v>
      </c>
      <c r="J9" s="31">
        <v>92701000</v>
      </c>
      <c r="M9" s="31">
        <f t="shared" si="1"/>
        <v>12853.86</v>
      </c>
    </row>
    <row r="10" spans="1:13" x14ac:dyDescent="0.25">
      <c r="A10" s="92" t="s">
        <v>413</v>
      </c>
      <c r="B10" s="92" t="s">
        <v>414</v>
      </c>
      <c r="C10" s="92" t="s">
        <v>398</v>
      </c>
      <c r="D10" s="92" t="s">
        <v>500</v>
      </c>
      <c r="E10" s="93">
        <v>2492.56</v>
      </c>
      <c r="F10" s="98" t="str">
        <f t="shared" si="2"/>
        <v>000834</v>
      </c>
      <c r="G10" s="31" t="str">
        <f t="shared" si="0"/>
        <v xml:space="preserve">Замалиев Идрис Раисович                           </v>
      </c>
      <c r="H10" s="31" t="str">
        <f t="shared" si="3"/>
        <v>7а род март</v>
      </c>
      <c r="I10" s="94" t="s">
        <v>387</v>
      </c>
      <c r="J10" s="31">
        <v>92701000</v>
      </c>
      <c r="M10" s="31">
        <f t="shared" si="1"/>
        <v>2492.56</v>
      </c>
    </row>
    <row r="11" spans="1:13" x14ac:dyDescent="0.25">
      <c r="A11" s="92" t="s">
        <v>454</v>
      </c>
      <c r="B11" s="92" t="s">
        <v>455</v>
      </c>
      <c r="C11" s="92" t="s">
        <v>398</v>
      </c>
      <c r="D11" s="92" t="s">
        <v>500</v>
      </c>
      <c r="E11" s="93">
        <v>5330.56</v>
      </c>
      <c r="F11" s="98" t="str">
        <f t="shared" si="2"/>
        <v>00009</v>
      </c>
      <c r="G11" s="31" t="str">
        <f t="shared" si="0"/>
        <v xml:space="preserve">Ильин Арслан Русланович                           </v>
      </c>
      <c r="H11" s="31" t="str">
        <f t="shared" si="3"/>
        <v>7а род март</v>
      </c>
      <c r="I11" s="94" t="s">
        <v>387</v>
      </c>
      <c r="J11" s="31">
        <v>92701000</v>
      </c>
      <c r="M11" s="31">
        <f t="shared" si="1"/>
        <v>5330.56</v>
      </c>
    </row>
    <row r="12" spans="1:13" x14ac:dyDescent="0.25">
      <c r="A12" s="92" t="s">
        <v>415</v>
      </c>
      <c r="B12" s="92" t="s">
        <v>416</v>
      </c>
      <c r="C12" s="92" t="s">
        <v>398</v>
      </c>
      <c r="D12" s="92" t="s">
        <v>500</v>
      </c>
      <c r="E12" s="93">
        <v>5330.56</v>
      </c>
      <c r="F12" s="98" t="str">
        <f t="shared" si="2"/>
        <v>00010</v>
      </c>
      <c r="G12" s="31" t="str">
        <f t="shared" si="0"/>
        <v xml:space="preserve">Исмагилов Амир Альбертович                        </v>
      </c>
      <c r="H12" s="31" t="str">
        <f t="shared" si="3"/>
        <v>7а род март</v>
      </c>
      <c r="I12" s="94" t="s">
        <v>387</v>
      </c>
      <c r="J12" s="31">
        <v>92701000</v>
      </c>
      <c r="M12" s="31">
        <f t="shared" si="1"/>
        <v>5330.56</v>
      </c>
    </row>
    <row r="13" spans="1:13" x14ac:dyDescent="0.25">
      <c r="A13" s="92" t="s">
        <v>417</v>
      </c>
      <c r="B13" s="92" t="s">
        <v>418</v>
      </c>
      <c r="C13" s="92" t="s">
        <v>398</v>
      </c>
      <c r="D13" s="92" t="s">
        <v>500</v>
      </c>
      <c r="E13" s="93">
        <v>1389.61</v>
      </c>
      <c r="F13" s="98" t="str">
        <f t="shared" si="2"/>
        <v>00011</v>
      </c>
      <c r="G13" s="31" t="str">
        <f t="shared" si="0"/>
        <v xml:space="preserve">Леухин Алексей Олегович                           </v>
      </c>
      <c r="H13" s="31" t="str">
        <f t="shared" si="3"/>
        <v>7а род март</v>
      </c>
      <c r="I13" s="94" t="s">
        <v>387</v>
      </c>
      <c r="J13" s="31">
        <v>92701000</v>
      </c>
      <c r="M13" s="31">
        <f t="shared" si="1"/>
        <v>1389.61</v>
      </c>
    </row>
    <row r="14" spans="1:13" x14ac:dyDescent="0.25">
      <c r="A14" s="92" t="s">
        <v>456</v>
      </c>
      <c r="B14" s="92" t="s">
        <v>457</v>
      </c>
      <c r="C14" s="92" t="s">
        <v>398</v>
      </c>
      <c r="D14" s="92" t="s">
        <v>500</v>
      </c>
      <c r="E14" s="93">
        <v>2417.64</v>
      </c>
      <c r="F14" s="98" t="str">
        <f t="shared" si="2"/>
        <v>00012</v>
      </c>
      <c r="G14" s="31" t="str">
        <f t="shared" si="0"/>
        <v xml:space="preserve">Лукьянов Кирилл Дмитриевич                        </v>
      </c>
      <c r="H14" s="31" t="str">
        <f t="shared" si="3"/>
        <v>7а род март</v>
      </c>
      <c r="I14" s="94" t="s">
        <v>387</v>
      </c>
      <c r="J14" s="31">
        <v>92701000</v>
      </c>
      <c r="M14" s="31">
        <f t="shared" si="1"/>
        <v>2417.64</v>
      </c>
    </row>
    <row r="15" spans="1:13" x14ac:dyDescent="0.25">
      <c r="A15" s="92" t="s">
        <v>419</v>
      </c>
      <c r="B15" s="92" t="s">
        <v>420</v>
      </c>
      <c r="C15" s="92" t="s">
        <v>398</v>
      </c>
      <c r="D15" s="92" t="s">
        <v>500</v>
      </c>
      <c r="E15" s="93">
        <v>2309.0700000000002</v>
      </c>
      <c r="F15" s="98" t="str">
        <f t="shared" si="2"/>
        <v>00013</v>
      </c>
      <c r="G15" s="31" t="str">
        <f t="shared" si="0"/>
        <v xml:space="preserve">Мифтахов Карим Марсович                           </v>
      </c>
      <c r="H15" s="31" t="str">
        <f t="shared" si="3"/>
        <v>7а род март</v>
      </c>
      <c r="I15" s="94" t="s">
        <v>387</v>
      </c>
      <c r="J15" s="31">
        <v>92701000</v>
      </c>
      <c r="M15" s="31">
        <f t="shared" si="1"/>
        <v>2309.0700000000002</v>
      </c>
    </row>
    <row r="16" spans="1:13" x14ac:dyDescent="0.25">
      <c r="A16" s="92" t="s">
        <v>502</v>
      </c>
      <c r="B16" s="92" t="s">
        <v>503</v>
      </c>
      <c r="C16" s="92" t="s">
        <v>398</v>
      </c>
      <c r="D16" s="92" t="s">
        <v>500</v>
      </c>
      <c r="E16" s="93">
        <v>0</v>
      </c>
      <c r="F16" s="98" t="str">
        <f t="shared" si="2"/>
        <v>00014</v>
      </c>
      <c r="G16" s="31" t="str">
        <f t="shared" si="0"/>
        <v xml:space="preserve">Мустафин Карим Фаридович                          </v>
      </c>
      <c r="H16" s="31" t="str">
        <f t="shared" si="3"/>
        <v>7а род март</v>
      </c>
      <c r="I16" s="94" t="s">
        <v>387</v>
      </c>
      <c r="J16" s="31">
        <v>92701000</v>
      </c>
      <c r="M16" s="31">
        <f t="shared" si="1"/>
        <v>0</v>
      </c>
    </row>
    <row r="17" spans="1:13" x14ac:dyDescent="0.25">
      <c r="A17" s="92" t="s">
        <v>421</v>
      </c>
      <c r="B17" s="92" t="s">
        <v>422</v>
      </c>
      <c r="C17" s="92" t="s">
        <v>398</v>
      </c>
      <c r="D17" s="92" t="s">
        <v>500</v>
      </c>
      <c r="E17" s="93">
        <v>2492.56</v>
      </c>
      <c r="F17" s="98" t="str">
        <f t="shared" si="2"/>
        <v>00015</v>
      </c>
      <c r="G17" s="31" t="str">
        <f t="shared" si="0"/>
        <v xml:space="preserve">Мустафин Самат Радикович                          </v>
      </c>
      <c r="H17" s="31" t="str">
        <f t="shared" si="3"/>
        <v>7а род март</v>
      </c>
      <c r="I17" s="94" t="s">
        <v>387</v>
      </c>
      <c r="J17" s="31">
        <v>92701000</v>
      </c>
      <c r="M17" s="31">
        <f t="shared" si="1"/>
        <v>2492.56</v>
      </c>
    </row>
    <row r="18" spans="1:13" x14ac:dyDescent="0.25">
      <c r="A18" s="92" t="s">
        <v>423</v>
      </c>
      <c r="B18" s="92" t="s">
        <v>424</v>
      </c>
      <c r="C18" s="92" t="s">
        <v>398</v>
      </c>
      <c r="D18" s="92" t="s">
        <v>500</v>
      </c>
      <c r="E18" s="93">
        <v>2492.56</v>
      </c>
      <c r="F18" s="98" t="str">
        <f t="shared" si="2"/>
        <v>00016</v>
      </c>
      <c r="G18" s="31" t="str">
        <f t="shared" si="0"/>
        <v xml:space="preserve">Мухаметгалиев Аяз Алмазович                       </v>
      </c>
      <c r="H18" s="31" t="str">
        <f t="shared" si="3"/>
        <v>7а род март</v>
      </c>
      <c r="I18" s="94" t="s">
        <v>387</v>
      </c>
      <c r="J18" s="31">
        <v>92701000</v>
      </c>
      <c r="M18" s="31">
        <f t="shared" si="1"/>
        <v>2492.56</v>
      </c>
    </row>
    <row r="19" spans="1:13" x14ac:dyDescent="0.25">
      <c r="A19" s="92" t="s">
        <v>425</v>
      </c>
      <c r="B19" s="92" t="s">
        <v>426</v>
      </c>
      <c r="C19" s="92" t="s">
        <v>398</v>
      </c>
      <c r="D19" s="92" t="s">
        <v>500</v>
      </c>
      <c r="E19" s="93">
        <v>2492.56</v>
      </c>
      <c r="F19" s="98" t="str">
        <f t="shared" si="2"/>
        <v>00017</v>
      </c>
      <c r="G19" s="31" t="str">
        <f t="shared" si="0"/>
        <v xml:space="preserve">Пимурзин Руслан Андреевич                         </v>
      </c>
      <c r="H19" s="31" t="str">
        <f t="shared" si="3"/>
        <v>7а род март</v>
      </c>
      <c r="I19" s="94" t="s">
        <v>387</v>
      </c>
      <c r="J19" s="31">
        <v>92701000</v>
      </c>
      <c r="M19" s="31">
        <f t="shared" si="1"/>
        <v>2492.56</v>
      </c>
    </row>
    <row r="20" spans="1:13" x14ac:dyDescent="0.25">
      <c r="A20" s="92" t="s">
        <v>427</v>
      </c>
      <c r="B20" s="92" t="s">
        <v>428</v>
      </c>
      <c r="C20" s="92" t="s">
        <v>398</v>
      </c>
      <c r="D20" s="92" t="s">
        <v>500</v>
      </c>
      <c r="E20" s="93">
        <v>2630.56</v>
      </c>
      <c r="F20" s="98" t="str">
        <f t="shared" si="2"/>
        <v>00018</v>
      </c>
      <c r="G20" s="31" t="str">
        <f t="shared" si="0"/>
        <v xml:space="preserve">Пимурзин Рустам Андреевич                         </v>
      </c>
      <c r="H20" s="31" t="str">
        <f t="shared" si="3"/>
        <v>7а род март</v>
      </c>
      <c r="I20" s="94" t="s">
        <v>387</v>
      </c>
      <c r="J20" s="31">
        <v>92701000</v>
      </c>
      <c r="M20" s="31">
        <f t="shared" si="1"/>
        <v>2630.56</v>
      </c>
    </row>
    <row r="21" spans="1:13" x14ac:dyDescent="0.25">
      <c r="A21" s="92" t="s">
        <v>429</v>
      </c>
      <c r="B21" s="92" t="s">
        <v>430</v>
      </c>
      <c r="C21" s="92" t="s">
        <v>398</v>
      </c>
      <c r="D21" s="92" t="s">
        <v>500</v>
      </c>
      <c r="E21" s="93">
        <v>5180.72</v>
      </c>
      <c r="F21" s="98" t="str">
        <f t="shared" si="2"/>
        <v>00019</v>
      </c>
      <c r="G21" s="31" t="str">
        <f t="shared" si="0"/>
        <v xml:space="preserve">Сахабутдинов Марат Ринатович                      </v>
      </c>
      <c r="H21" s="31" t="str">
        <f t="shared" si="3"/>
        <v>7а род март</v>
      </c>
      <c r="I21" s="94" t="s">
        <v>387</v>
      </c>
      <c r="J21" s="31">
        <v>92701000</v>
      </c>
      <c r="M21" s="31">
        <f t="shared" si="1"/>
        <v>5180.72</v>
      </c>
    </row>
    <row r="22" spans="1:13" x14ac:dyDescent="0.25">
      <c r="A22" s="92" t="s">
        <v>431</v>
      </c>
      <c r="B22" s="92" t="s">
        <v>432</v>
      </c>
      <c r="C22" s="92" t="s">
        <v>398</v>
      </c>
      <c r="D22" s="92" t="s">
        <v>500</v>
      </c>
      <c r="E22" s="93">
        <v>12853.86</v>
      </c>
      <c r="F22" s="98" t="str">
        <f t="shared" si="2"/>
        <v>00022</v>
      </c>
      <c r="G22" s="31" t="str">
        <f t="shared" si="0"/>
        <v xml:space="preserve">Фазлиев Зуфар Рустамович                          </v>
      </c>
      <c r="H22" s="31" t="str">
        <f t="shared" si="3"/>
        <v>7а род март</v>
      </c>
      <c r="I22" s="94" t="s">
        <v>387</v>
      </c>
      <c r="J22" s="31">
        <v>92701000</v>
      </c>
      <c r="M22" s="31">
        <f t="shared" si="1"/>
        <v>12853.86</v>
      </c>
    </row>
    <row r="23" spans="1:13" x14ac:dyDescent="0.25">
      <c r="A23" s="92" t="s">
        <v>458</v>
      </c>
      <c r="B23" s="92" t="s">
        <v>459</v>
      </c>
      <c r="C23" s="92" t="s">
        <v>398</v>
      </c>
      <c r="D23" s="92" t="s">
        <v>500</v>
      </c>
      <c r="E23" s="93">
        <v>2492.56</v>
      </c>
      <c r="F23" s="98" t="str">
        <f t="shared" si="2"/>
        <v>00021</v>
      </c>
      <c r="G23" s="31" t="str">
        <f t="shared" si="0"/>
        <v xml:space="preserve">Фаизов Рамиль Рафаэлевич                          </v>
      </c>
      <c r="H23" s="31" t="str">
        <f t="shared" si="3"/>
        <v>7а род март</v>
      </c>
      <c r="I23" s="94" t="s">
        <v>387</v>
      </c>
      <c r="J23" s="31">
        <v>92701000</v>
      </c>
      <c r="M23" s="31">
        <f t="shared" si="1"/>
        <v>2492.56</v>
      </c>
    </row>
    <row r="24" spans="1:13" x14ac:dyDescent="0.25">
      <c r="A24" s="92" t="s">
        <v>460</v>
      </c>
      <c r="B24" s="92" t="s">
        <v>461</v>
      </c>
      <c r="C24" s="92" t="s">
        <v>398</v>
      </c>
      <c r="D24" s="92" t="s">
        <v>500</v>
      </c>
      <c r="E24" s="93">
        <v>2492.56</v>
      </c>
      <c r="F24" s="98" t="str">
        <f t="shared" si="2"/>
        <v>00023</v>
      </c>
      <c r="G24" s="31" t="str">
        <f t="shared" si="0"/>
        <v xml:space="preserve">Хамидуллин Самат Ильнарович                       </v>
      </c>
      <c r="H24" s="31" t="str">
        <f t="shared" si="3"/>
        <v>7а род март</v>
      </c>
      <c r="I24" s="94" t="s">
        <v>387</v>
      </c>
      <c r="J24" s="31">
        <v>92701000</v>
      </c>
      <c r="M24" s="31">
        <f t="shared" si="1"/>
        <v>2492.56</v>
      </c>
    </row>
    <row r="25" spans="1:13" x14ac:dyDescent="0.25">
      <c r="A25" s="92" t="s">
        <v>433</v>
      </c>
      <c r="B25" s="92" t="s">
        <v>434</v>
      </c>
      <c r="C25" s="92" t="s">
        <v>398</v>
      </c>
      <c r="D25" s="92" t="s">
        <v>500</v>
      </c>
      <c r="E25" s="93">
        <v>2492.56</v>
      </c>
      <c r="F25" s="98" t="str">
        <f t="shared" si="2"/>
        <v>00024</v>
      </c>
      <c r="G25" s="31" t="str">
        <f t="shared" si="0"/>
        <v xml:space="preserve">Шамсиев Асгат Марсович                            </v>
      </c>
      <c r="H25" s="31" t="str">
        <f t="shared" si="3"/>
        <v>7а род март</v>
      </c>
      <c r="I25" s="94" t="s">
        <v>387</v>
      </c>
      <c r="J25" s="31">
        <v>92701000</v>
      </c>
      <c r="M25" s="31">
        <f t="shared" si="1"/>
        <v>2492.56</v>
      </c>
    </row>
    <row r="26" spans="1:13" x14ac:dyDescent="0.25">
      <c r="A26" s="92" t="s">
        <v>435</v>
      </c>
      <c r="B26" s="92" t="s">
        <v>436</v>
      </c>
      <c r="C26" s="92" t="s">
        <v>398</v>
      </c>
      <c r="D26" s="92" t="s">
        <v>500</v>
      </c>
      <c r="E26" s="93">
        <v>2712.95</v>
      </c>
      <c r="F26" s="98" t="str">
        <f t="shared" si="2"/>
        <v>00025</v>
      </c>
      <c r="G26" s="31" t="str">
        <f t="shared" si="0"/>
        <v xml:space="preserve">Юсупов Ислам Равилович                            </v>
      </c>
      <c r="H26" s="31" t="str">
        <f t="shared" si="3"/>
        <v>7а род март</v>
      </c>
      <c r="I26" s="94" t="s">
        <v>387</v>
      </c>
      <c r="J26" s="31">
        <v>92701000</v>
      </c>
      <c r="M26" s="31">
        <f t="shared" si="1"/>
        <v>2712.95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387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387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387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1"/>
  <sheetViews>
    <sheetView workbookViewId="0">
      <pane ySplit="6" topLeftCell="A7" activePane="bottomLeft" state="frozen"/>
      <selection activeCell="A2" sqref="A2"/>
      <selection pane="bottomLeft" activeCell="A7" sqref="A7:H31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1657032924_03234643927010001100__27.03.2023.TXT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116495.65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25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437</v>
      </c>
      <c r="B7" s="84" t="s">
        <v>397</v>
      </c>
      <c r="C7" s="84" t="s">
        <v>501</v>
      </c>
      <c r="D7" s="84" t="s">
        <v>387</v>
      </c>
      <c r="E7" s="87">
        <v>92701000</v>
      </c>
      <c r="F7" s="84"/>
      <c r="G7" s="84"/>
      <c r="H7" s="86">
        <v>2492.56</v>
      </c>
    </row>
    <row r="8" spans="1:8" x14ac:dyDescent="0.25">
      <c r="A8" s="95" t="s">
        <v>399</v>
      </c>
      <c r="B8" s="95" t="s">
        <v>400</v>
      </c>
      <c r="C8" s="95" t="s">
        <v>501</v>
      </c>
      <c r="D8" s="95" t="s">
        <v>387</v>
      </c>
      <c r="E8" s="95">
        <v>92701000</v>
      </c>
      <c r="F8" s="95"/>
      <c r="G8" s="95"/>
      <c r="H8" s="96">
        <v>2492.56</v>
      </c>
    </row>
    <row r="9" spans="1:8" x14ac:dyDescent="0.25">
      <c r="A9" s="95" t="s">
        <v>438</v>
      </c>
      <c r="B9" s="95" t="s">
        <v>402</v>
      </c>
      <c r="C9" s="95" t="s">
        <v>501</v>
      </c>
      <c r="D9" s="95" t="s">
        <v>387</v>
      </c>
      <c r="E9" s="95">
        <v>92701000</v>
      </c>
      <c r="F9" s="95"/>
      <c r="G9" s="95"/>
      <c r="H9" s="96">
        <v>2730.56</v>
      </c>
    </row>
    <row r="10" spans="1:8" x14ac:dyDescent="0.25">
      <c r="A10" s="95" t="s">
        <v>403</v>
      </c>
      <c r="B10" s="95" t="s">
        <v>404</v>
      </c>
      <c r="C10" s="95" t="s">
        <v>501</v>
      </c>
      <c r="D10" s="95" t="s">
        <v>387</v>
      </c>
      <c r="E10" s="95">
        <v>92701000</v>
      </c>
      <c r="F10" s="95"/>
      <c r="G10" s="95"/>
      <c r="H10" s="96">
        <v>6722.82</v>
      </c>
    </row>
    <row r="11" spans="1:8" x14ac:dyDescent="0.25">
      <c r="A11" s="95" t="s">
        <v>439</v>
      </c>
      <c r="B11" s="95" t="s">
        <v>406</v>
      </c>
      <c r="C11" s="95" t="s">
        <v>501</v>
      </c>
      <c r="D11" s="95" t="s">
        <v>387</v>
      </c>
      <c r="E11" s="95">
        <v>92701000</v>
      </c>
      <c r="F11" s="95"/>
      <c r="G11" s="95"/>
      <c r="H11" s="96">
        <v>5330.56</v>
      </c>
    </row>
    <row r="12" spans="1:8" x14ac:dyDescent="0.25">
      <c r="A12" s="95" t="s">
        <v>440</v>
      </c>
      <c r="B12" s="95" t="s">
        <v>408</v>
      </c>
      <c r="C12" s="95" t="s">
        <v>501</v>
      </c>
      <c r="D12" s="95" t="s">
        <v>387</v>
      </c>
      <c r="E12" s="95">
        <v>92701000</v>
      </c>
      <c r="F12" s="95"/>
      <c r="G12" s="95"/>
      <c r="H12" s="96">
        <v>2309.31</v>
      </c>
    </row>
    <row r="13" spans="1:8" x14ac:dyDescent="0.25">
      <c r="A13" s="95" t="s">
        <v>441</v>
      </c>
      <c r="B13" s="95" t="s">
        <v>410</v>
      </c>
      <c r="C13" s="95" t="s">
        <v>501</v>
      </c>
      <c r="D13" s="95" t="s">
        <v>387</v>
      </c>
      <c r="E13" s="95">
        <v>92701000</v>
      </c>
      <c r="F13" s="95"/>
      <c r="G13" s="95"/>
      <c r="H13" s="96">
        <v>23959.97</v>
      </c>
    </row>
    <row r="14" spans="1:8" x14ac:dyDescent="0.25">
      <c r="A14" s="95" t="s">
        <v>442</v>
      </c>
      <c r="B14" s="95" t="s">
        <v>412</v>
      </c>
      <c r="C14" s="95" t="s">
        <v>501</v>
      </c>
      <c r="D14" s="95" t="s">
        <v>387</v>
      </c>
      <c r="E14" s="95">
        <v>92701000</v>
      </c>
      <c r="F14" s="95"/>
      <c r="G14" s="95"/>
      <c r="H14" s="96">
        <v>12853.86</v>
      </c>
    </row>
    <row r="15" spans="1:8" x14ac:dyDescent="0.25">
      <c r="A15" s="95" t="s">
        <v>413</v>
      </c>
      <c r="B15" s="95" t="s">
        <v>414</v>
      </c>
      <c r="C15" s="95" t="s">
        <v>501</v>
      </c>
      <c r="D15" s="95" t="s">
        <v>387</v>
      </c>
      <c r="E15" s="95">
        <v>92701000</v>
      </c>
      <c r="F15" s="95"/>
      <c r="G15" s="95"/>
      <c r="H15" s="96">
        <v>2492.56</v>
      </c>
    </row>
    <row r="16" spans="1:8" x14ac:dyDescent="0.25">
      <c r="A16" s="95" t="s">
        <v>462</v>
      </c>
      <c r="B16" s="95" t="s">
        <v>455</v>
      </c>
      <c r="C16" s="95" t="s">
        <v>501</v>
      </c>
      <c r="D16" s="95" t="s">
        <v>387</v>
      </c>
      <c r="E16" s="95">
        <v>92701000</v>
      </c>
      <c r="F16" s="95"/>
      <c r="G16" s="95"/>
      <c r="H16" s="96">
        <v>5330.56</v>
      </c>
    </row>
    <row r="17" spans="1:8" x14ac:dyDescent="0.25">
      <c r="A17" s="95" t="s">
        <v>443</v>
      </c>
      <c r="B17" s="95" t="s">
        <v>416</v>
      </c>
      <c r="C17" s="95" t="s">
        <v>501</v>
      </c>
      <c r="D17" s="95" t="s">
        <v>387</v>
      </c>
      <c r="E17" s="95">
        <v>92701000</v>
      </c>
      <c r="F17" s="95"/>
      <c r="G17" s="95"/>
      <c r="H17" s="96">
        <v>5330.56</v>
      </c>
    </row>
    <row r="18" spans="1:8" x14ac:dyDescent="0.25">
      <c r="A18" s="95" t="s">
        <v>444</v>
      </c>
      <c r="B18" s="95" t="s">
        <v>418</v>
      </c>
      <c r="C18" s="95" t="s">
        <v>501</v>
      </c>
      <c r="D18" s="95" t="s">
        <v>387</v>
      </c>
      <c r="E18" s="95">
        <v>92701000</v>
      </c>
      <c r="F18" s="95"/>
      <c r="G18" s="95"/>
      <c r="H18" s="96">
        <v>1389.61</v>
      </c>
    </row>
    <row r="19" spans="1:8" x14ac:dyDescent="0.25">
      <c r="A19" s="95" t="s">
        <v>463</v>
      </c>
      <c r="B19" s="95" t="s">
        <v>457</v>
      </c>
      <c r="C19" s="95" t="s">
        <v>501</v>
      </c>
      <c r="D19" s="95" t="s">
        <v>387</v>
      </c>
      <c r="E19" s="95">
        <v>92701000</v>
      </c>
      <c r="F19" s="95"/>
      <c r="G19" s="95"/>
      <c r="H19" s="96">
        <v>2417.64</v>
      </c>
    </row>
    <row r="20" spans="1:8" x14ac:dyDescent="0.25">
      <c r="A20" s="95" t="s">
        <v>445</v>
      </c>
      <c r="B20" s="95" t="s">
        <v>420</v>
      </c>
      <c r="C20" s="95" t="s">
        <v>501</v>
      </c>
      <c r="D20" s="95" t="s">
        <v>387</v>
      </c>
      <c r="E20" s="95">
        <v>92701000</v>
      </c>
      <c r="F20" s="95"/>
      <c r="G20" s="95"/>
      <c r="H20" s="96">
        <v>2309.0700000000002</v>
      </c>
    </row>
    <row r="21" spans="1:8" x14ac:dyDescent="0.25">
      <c r="A21" s="95" t="s">
        <v>504</v>
      </c>
      <c r="B21" s="95" t="s">
        <v>503</v>
      </c>
      <c r="C21" s="95" t="s">
        <v>501</v>
      </c>
      <c r="D21" s="95" t="s">
        <v>387</v>
      </c>
      <c r="E21" s="95">
        <v>92701000</v>
      </c>
      <c r="F21" s="95"/>
      <c r="G21" s="95"/>
      <c r="H21" s="96">
        <v>0</v>
      </c>
    </row>
    <row r="22" spans="1:8" x14ac:dyDescent="0.25">
      <c r="A22" s="95" t="s">
        <v>446</v>
      </c>
      <c r="B22" s="95" t="s">
        <v>422</v>
      </c>
      <c r="C22" s="95" t="s">
        <v>501</v>
      </c>
      <c r="D22" s="95" t="s">
        <v>387</v>
      </c>
      <c r="E22" s="95">
        <v>92701000</v>
      </c>
      <c r="F22" s="95"/>
      <c r="G22" s="95"/>
      <c r="H22" s="96">
        <v>2492.56</v>
      </c>
    </row>
    <row r="23" spans="1:8" x14ac:dyDescent="0.25">
      <c r="A23" s="95" t="s">
        <v>447</v>
      </c>
      <c r="B23" s="95" t="s">
        <v>424</v>
      </c>
      <c r="C23" s="95" t="s">
        <v>501</v>
      </c>
      <c r="D23" s="95" t="s">
        <v>387</v>
      </c>
      <c r="E23" s="95">
        <v>92701000</v>
      </c>
      <c r="F23" s="95"/>
      <c r="G23" s="95"/>
      <c r="H23" s="96">
        <v>2492.56</v>
      </c>
    </row>
    <row r="24" spans="1:8" x14ac:dyDescent="0.25">
      <c r="A24" s="95" t="s">
        <v>448</v>
      </c>
      <c r="B24" s="95" t="s">
        <v>426</v>
      </c>
      <c r="C24" s="95" t="s">
        <v>501</v>
      </c>
      <c r="D24" s="95" t="s">
        <v>387</v>
      </c>
      <c r="E24" s="95">
        <v>92701000</v>
      </c>
      <c r="F24" s="95"/>
      <c r="G24" s="95"/>
      <c r="H24" s="96">
        <v>2492.56</v>
      </c>
    </row>
    <row r="25" spans="1:8" x14ac:dyDescent="0.25">
      <c r="A25" s="95" t="s">
        <v>449</v>
      </c>
      <c r="B25" s="95" t="s">
        <v>428</v>
      </c>
      <c r="C25" s="95" t="s">
        <v>501</v>
      </c>
      <c r="D25" s="95" t="s">
        <v>387</v>
      </c>
      <c r="E25" s="95">
        <v>92701000</v>
      </c>
      <c r="F25" s="95"/>
      <c r="G25" s="95"/>
      <c r="H25" s="96">
        <v>2630.56</v>
      </c>
    </row>
    <row r="26" spans="1:8" x14ac:dyDescent="0.25">
      <c r="A26" s="95" t="s">
        <v>450</v>
      </c>
      <c r="B26" s="95" t="s">
        <v>430</v>
      </c>
      <c r="C26" s="95" t="s">
        <v>501</v>
      </c>
      <c r="D26" s="95" t="s">
        <v>387</v>
      </c>
      <c r="E26" s="95">
        <v>92701000</v>
      </c>
      <c r="F26" s="95"/>
      <c r="G26" s="95"/>
      <c r="H26" s="96">
        <v>5180.72</v>
      </c>
    </row>
    <row r="27" spans="1:8" x14ac:dyDescent="0.25">
      <c r="A27" s="95" t="s">
        <v>451</v>
      </c>
      <c r="B27" s="95" t="s">
        <v>432</v>
      </c>
      <c r="C27" s="95" t="s">
        <v>501</v>
      </c>
      <c r="D27" s="95" t="s">
        <v>387</v>
      </c>
      <c r="E27" s="95">
        <v>92701000</v>
      </c>
      <c r="F27" s="95"/>
      <c r="G27" s="95"/>
      <c r="H27" s="96">
        <v>12853.86</v>
      </c>
    </row>
    <row r="28" spans="1:8" x14ac:dyDescent="0.25">
      <c r="A28" s="95" t="s">
        <v>464</v>
      </c>
      <c r="B28" s="95" t="s">
        <v>459</v>
      </c>
      <c r="C28" s="95" t="s">
        <v>501</v>
      </c>
      <c r="D28" s="95" t="s">
        <v>387</v>
      </c>
      <c r="E28" s="95">
        <v>92701000</v>
      </c>
      <c r="F28" s="95"/>
      <c r="G28" s="95"/>
      <c r="H28" s="96">
        <v>2492.56</v>
      </c>
    </row>
    <row r="29" spans="1:8" x14ac:dyDescent="0.25">
      <c r="A29" s="95" t="s">
        <v>465</v>
      </c>
      <c r="B29" s="95" t="s">
        <v>461</v>
      </c>
      <c r="C29" s="95" t="s">
        <v>501</v>
      </c>
      <c r="D29" s="95" t="s">
        <v>387</v>
      </c>
      <c r="E29" s="95">
        <v>92701000</v>
      </c>
      <c r="F29" s="95"/>
      <c r="G29" s="95"/>
      <c r="H29" s="96">
        <v>2492.56</v>
      </c>
    </row>
    <row r="30" spans="1:8" x14ac:dyDescent="0.25">
      <c r="A30" s="95" t="s">
        <v>452</v>
      </c>
      <c r="B30" s="95" t="s">
        <v>434</v>
      </c>
      <c r="C30" s="95" t="s">
        <v>501</v>
      </c>
      <c r="D30" s="95" t="s">
        <v>387</v>
      </c>
      <c r="E30" s="95">
        <v>92701000</v>
      </c>
      <c r="F30" s="95"/>
      <c r="G30" s="95"/>
      <c r="H30" s="96">
        <v>2492.56</v>
      </c>
    </row>
    <row r="31" spans="1:8" x14ac:dyDescent="0.25">
      <c r="A31" s="95" t="s">
        <v>453</v>
      </c>
      <c r="B31" s="95" t="s">
        <v>436</v>
      </c>
      <c r="C31" s="95" t="s">
        <v>501</v>
      </c>
      <c r="D31" s="95" t="s">
        <v>387</v>
      </c>
      <c r="E31" s="95">
        <v>92701000</v>
      </c>
      <c r="F31" s="95"/>
      <c r="G31" s="95"/>
      <c r="H31" s="96">
        <v>2712.95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1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1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1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1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1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466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467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466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467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468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467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468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467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469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467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469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467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470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471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470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471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472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467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472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467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473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474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473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474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475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476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475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476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477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478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477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478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479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467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479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467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480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467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480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467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481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478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481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478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482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467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482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467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483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484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483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484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485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486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485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486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487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488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487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488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489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490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489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490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491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467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491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467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492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467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492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467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493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467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493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467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494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478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494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478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495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467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495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467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496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467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496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467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497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488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497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488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498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499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498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499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4" t="s">
        <v>95</v>
      </c>
      <c r="B648" s="114"/>
      <c r="C648" s="114"/>
    </row>
  </sheetData>
  <mergeCells count="24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purl.org/dc/terms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2023-02-21T14:08:59Z</cp:lastPrinted>
  <dcterms:created xsi:type="dcterms:W3CDTF">2012-02-27T08:19:11Z</dcterms:created>
  <dcterms:modified xsi:type="dcterms:W3CDTF">2023-03-27T08:12:36Z</dcterms:modified>
</cp:coreProperties>
</file>