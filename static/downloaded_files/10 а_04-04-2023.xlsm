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1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68" l="1"/>
  <c r="G2" i="268"/>
  <c r="H2" i="268"/>
  <c r="M2" i="268"/>
  <c r="F3" i="268"/>
  <c r="G3" i="268"/>
  <c r="H3" i="268"/>
  <c r="M3" i="268"/>
  <c r="F4" i="268"/>
  <c r="G4" i="268"/>
  <c r="H4" i="268"/>
  <c r="M4" i="268"/>
  <c r="F5" i="268"/>
  <c r="G5" i="268"/>
  <c r="H5" i="268"/>
  <c r="M5" i="268"/>
  <c r="F6" i="268"/>
  <c r="G6" i="268"/>
  <c r="H6" i="268"/>
  <c r="M6" i="268"/>
  <c r="C636" i="281" l="1"/>
  <c r="C627" i="281"/>
  <c r="C640" i="281" s="1"/>
  <c r="C625" i="281"/>
  <c r="C638" i="281" s="1"/>
  <c r="C623" i="281"/>
  <c r="C613" i="281"/>
  <c r="C611" i="281"/>
  <c r="C600" i="281"/>
  <c r="C598" i="281"/>
  <c r="C596" i="281"/>
  <c r="C609" i="281" s="1"/>
  <c r="C582" i="281"/>
  <c r="C573" i="281"/>
  <c r="C586" i="281" s="1"/>
  <c r="C571" i="281"/>
  <c r="C584" i="281" s="1"/>
  <c r="C569" i="281"/>
  <c r="C559" i="281"/>
  <c r="C557" i="281"/>
  <c r="C546" i="281"/>
  <c r="C544" i="281"/>
  <c r="C542" i="281"/>
  <c r="C555" i="281" s="1"/>
  <c r="C528" i="281"/>
  <c r="C519" i="281"/>
  <c r="C532" i="281" s="1"/>
  <c r="C517" i="281"/>
  <c r="C530" i="281" s="1"/>
  <c r="C515" i="281"/>
  <c r="C505" i="281"/>
  <c r="C503" i="281"/>
  <c r="C492" i="281"/>
  <c r="C490" i="281"/>
  <c r="C488" i="281"/>
  <c r="C501" i="281" s="1"/>
  <c r="C474" i="281"/>
  <c r="C465" i="281"/>
  <c r="C478" i="281" s="1"/>
  <c r="C463" i="281"/>
  <c r="C476" i="281" s="1"/>
  <c r="C461" i="281"/>
  <c r="C451" i="281"/>
  <c r="C449" i="281"/>
  <c r="C438" i="281"/>
  <c r="C436" i="281"/>
  <c r="C434" i="281"/>
  <c r="C447" i="281" s="1"/>
  <c r="C420" i="281"/>
  <c r="C411" i="281"/>
  <c r="C424" i="281" s="1"/>
  <c r="C409" i="281"/>
  <c r="C422" i="281" s="1"/>
  <c r="C407" i="281"/>
  <c r="C397" i="281"/>
  <c r="C395" i="281"/>
  <c r="C384" i="281"/>
  <c r="C382" i="281"/>
  <c r="C380" i="281"/>
  <c r="C393" i="281" s="1"/>
  <c r="C366" i="281"/>
  <c r="C357" i="281"/>
  <c r="C370" i="281" s="1"/>
  <c r="C355" i="281"/>
  <c r="C368" i="281" s="1"/>
  <c r="C353" i="281"/>
  <c r="C343" i="281"/>
  <c r="C341" i="281"/>
  <c r="C330" i="281"/>
  <c r="C328" i="281"/>
  <c r="C326" i="281"/>
  <c r="C339" i="281" s="1"/>
  <c r="C312" i="281"/>
  <c r="C303" i="281"/>
  <c r="C316" i="281" s="1"/>
  <c r="C301" i="281"/>
  <c r="C314" i="281" s="1"/>
  <c r="C299" i="281"/>
  <c r="C289" i="281"/>
  <c r="C287" i="281"/>
  <c r="C276" i="281"/>
  <c r="C274" i="281"/>
  <c r="C272" i="281"/>
  <c r="C285" i="281" s="1"/>
  <c r="C258" i="281"/>
  <c r="C249" i="281"/>
  <c r="C262" i="281" s="1"/>
  <c r="C247" i="281"/>
  <c r="C260" i="281" s="1"/>
  <c r="C245" i="281"/>
  <c r="C235" i="281"/>
  <c r="C233" i="281"/>
  <c r="C222" i="281"/>
  <c r="C220" i="281"/>
  <c r="C218" i="281"/>
  <c r="C231" i="281" s="1"/>
  <c r="C204" i="281"/>
  <c r="C195" i="281"/>
  <c r="C208" i="281" s="1"/>
  <c r="C193" i="281"/>
  <c r="C206" i="281" s="1"/>
  <c r="C191" i="281"/>
  <c r="C181" i="281"/>
  <c r="C179" i="281"/>
  <c r="C168" i="281"/>
  <c r="C166" i="281"/>
  <c r="C164" i="281"/>
  <c r="C177" i="281" s="1"/>
  <c r="C150" i="281"/>
  <c r="C141" i="281"/>
  <c r="C154" i="281" s="1"/>
  <c r="C139" i="281"/>
  <c r="C152" i="281" s="1"/>
  <c r="C137" i="281"/>
  <c r="C127" i="281"/>
  <c r="C125" i="281"/>
  <c r="C114" i="281"/>
  <c r="C112" i="281"/>
  <c r="C110" i="281"/>
  <c r="C123" i="281" s="1"/>
  <c r="C96" i="281"/>
  <c r="C87" i="281"/>
  <c r="C100" i="281" s="1"/>
  <c r="C85" i="281"/>
  <c r="C98" i="281" s="1"/>
  <c r="C83" i="281"/>
  <c r="C73" i="281"/>
  <c r="C71" i="281"/>
  <c r="C60" i="281"/>
  <c r="C58" i="281"/>
  <c r="C56" i="281"/>
  <c r="C69" i="281" s="1"/>
  <c r="C42" i="281"/>
  <c r="C33" i="281"/>
  <c r="C46" i="281" s="1"/>
  <c r="C31" i="281"/>
  <c r="C44" i="281" s="1"/>
  <c r="C29" i="281"/>
  <c r="C19" i="281"/>
  <c r="C17" i="281"/>
  <c r="C6" i="281"/>
  <c r="C4" i="281"/>
  <c r="C2" i="281"/>
  <c r="C15" i="281" s="1"/>
  <c r="H7" i="268" l="1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G1307" i="268" l="1"/>
  <c r="G1306" i="268"/>
  <c r="G1305" i="268"/>
  <c r="G1304" i="268"/>
  <c r="G1303" i="268"/>
  <c r="G1302" i="268"/>
  <c r="G1301" i="268"/>
  <c r="G1300" i="268"/>
  <c r="G1299" i="268"/>
  <c r="G1298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<sst xmlns="http://schemas.openxmlformats.org/spreadsheetml/2006/main" count="2574" uniqueCount="507">
  <si>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</si>
  <si>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</si>
  <si>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</si>
  <si>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</si>
  <si>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</si>
  <si>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</si>
  <si>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</si>
  <si>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</si>
  <si>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</si>
  <si>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</si>
  <si>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</si>
  <si>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</si>
  <si>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</si>
  <si>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</si>
  <si>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</si>
  <si>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</si>
  <si>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</si>
  <si>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</si>
  <si>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</si>
  <si>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</si>
  <si>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</si>
  <si>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</si>
  <si>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</si>
  <si>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</si>
  <si>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</si>
  <si>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</si>
  <si>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</si>
  <si>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</si>
  <si>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</si>
  <si>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</si>
  <si>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</si>
  <si>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</si>
  <si>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</si>
  <si>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</si>
  <si>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</si>
  <si>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</si>
  <si>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</si>
  <si>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</si>
  <si>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</si>
  <si>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</si>
  <si>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</si>
  <si>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</si>
  <si>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</si>
  <si>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</si>
  <si>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</si>
  <si>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</si>
  <si>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</si>
  <si>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</si>
  <si>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</si>
  <si>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</si>
  <si>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</si>
  <si>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</si>
  <si>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</si>
  <si>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</si>
  <si>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</si>
  <si>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</si>
  <si>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</si>
  <si>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</si>
  <si>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</si>
  <si>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</si>
  <si>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</si>
  <si>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</si>
  <si>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</si>
  <si>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</si>
  <si>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</si>
  <si>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</si>
  <si>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</si>
  <si>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</si>
  <si>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</si>
  <si>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</si>
  <si>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</si>
  <si>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</si>
  <si>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</si>
  <si>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</si>
  <si>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</si>
  <si>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</si>
  <si>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</si>
  <si>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</si>
  <si>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</si>
  <si>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</si>
  <si>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</si>
  <si>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</si>
  <si>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</si>
  <si>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</si>
  <si>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</si>
  <si>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</si>
  <si>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</si>
  <si>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</si>
  <si>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</si>
  <si>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</si>
  <si>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</si>
  <si>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</si>
  <si>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</si>
  <si>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</si>
  <si>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</si>
  <si>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</si>
  <si>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</si>
  <si>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</si>
  <si>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</si>
  <si>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</si>
  <si>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</si>
  <si>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</si>
  <si>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</si>
  <si>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</si>
  <si>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</si>
  <si>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</si>
  <si>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</si>
  <si>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</si>
  <si>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</si>
  <si>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</si>
  <si>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</si>
  <si>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</si>
  <si>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</si>
  <si>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</si>
  <si>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</si>
  <si>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</si>
  <si>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</si>
  <si>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</si>
  <si>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</si>
  <si>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</si>
  <si>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</si>
  <si>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</si>
  <si>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</si>
  <si>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</si>
  <si>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</si>
  <si>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</si>
  <si>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</si>
  <si>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</si>
  <si>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</si>
  <si>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</si>
  <si>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</si>
  <si>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</si>
  <si>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</si>
  <si>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</si>
  <si>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</si>
  <si>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</si>
  <si>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</si>
  <si>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</si>
  <si>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</si>
  <si>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</si>
  <si>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</si>
  <si>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</si>
  <si>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</si>
  <si>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</si>
  <si>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</si>
  <si>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</si>
  <si>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</si>
  <si>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</si>
  <si>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</si>
  <si>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</si>
  <si>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</si>
  <si>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</si>
  <si>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</si>
  <si>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</si>
  <si>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</si>
  <si>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</si>
  <si>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</si>
  <si>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</si>
  <si>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</si>
  <si>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</si>
  <si>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</si>
  <si>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</si>
  <si>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</si>
  <si>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</si>
  <si>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</si>
  <si>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</si>
  <si>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</si>
  <si>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</si>
  <si>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</si>
  <si>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</si>
  <si>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</si>
  <si>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</si>
  <si>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</si>
  <si>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</si>
  <si>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</si>
  <si>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</si>
  <si>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</si>
  <si>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</si>
  <si>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</si>
  <si>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</si>
  <si>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</si>
  <si>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</si>
  <si>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</si>
  <si>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</si>
  <si>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</si>
  <si>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</si>
  <si>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</si>
  <si>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</si>
  <si>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</si>
  <si>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</si>
  <si>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</si>
  <si>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</si>
  <si>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</si>
  <si>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</si>
  <si>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</si>
  <si>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</si>
  <si>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</si>
  <si>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</si>
  <si>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</si>
  <si>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</si>
  <si>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</si>
  <si>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</si>
  <si>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</si>
  <si>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</si>
  <si>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</si>
  <si>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</si>
  <si>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</si>
  <si>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</si>
  <si>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</si>
  <si>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</si>
  <si>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</si>
  <si>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</si>
  <si>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</si>
  <si>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</si>
  <si>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</si>
  <si>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</si>
  <si>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</si>
  <si>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</si>
  <si>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</si>
  <si>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</si>
  <si>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</si>
  <si>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</si>
  <si>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</si>
  <si>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</si>
  <si>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</si>
  <si>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</si>
  <si>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</si>
  <si>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</si>
  <si>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</si>
  <si>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</si>
  <si>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</si>
  <si>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</si>
  <si>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</si>
  <si>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</si>
  <si>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</si>
  <si>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</si>
  <si>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</si>
  <si>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</si>
  <si>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</si>
  <si>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</si>
  <si>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</si>
  <si>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</si>
  <si>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</si>
  <si>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</si>
  <si>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</si>
  <si>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</si>
  <si>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</si>
  <si>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</si>
  <si>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</si>
  <si>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</si>
  <si>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</si>
  <si>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</si>
  <si>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</si>
  <si>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</si>
  <si>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</si>
  <si>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</si>
  <si>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</si>
  <si>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</si>
  <si>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</si>
  <si>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</si>
  <si>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</si>
  <si>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</si>
  <si>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</si>
  <si>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</si>
  <si>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</si>
  <si>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</si>
  <si>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</si>
  <si>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</si>
  <si>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</si>
  <si>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</si>
  <si>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</si>
  <si>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</si>
  <si>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</si>
  <si>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</si>
  <si>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</si>
  <si>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</si>
  <si>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</si>
  <si>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</si>
  <si>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</si>
  <si>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</si>
  <si>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</si>
  <si>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</si>
  <si>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</si>
  <si>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</si>
  <si>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</si>
  <si>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</si>
  <si>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</si>
  <si>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</si>
  <si>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</si>
  <si>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</si>
  <si>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</si>
  <si>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</si>
  <si>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</si>
  <si>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</si>
  <si>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</si>
  <si>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</si>
  <si>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</si>
  <si>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</si>
  <si>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</si>
  <si>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</si>
  <si>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</si>
  <si>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</si>
  <si>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</si>
  <si>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</si>
  <si>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</si>
  <si>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</si>
  <si>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</si>
  <si>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</si>
  <si>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</si>
  <si>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</si>
  <si>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</si>
  <si>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</si>
  <si>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</si>
  <si>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</si>
  <si>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</si>
  <si>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</si>
  <si>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</si>
  <si>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</si>
  <si>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</si>
  <si>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</si>
  <si>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</si>
  <si>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</si>
  <si>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</si>
  <si>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</si>
  <si>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</si>
  <si>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</si>
  <si>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</si>
  <si>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</si>
  <si>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</si>
  <si>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</si>
  <si>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</si>
  <si>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</si>
  <si>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</si>
  <si>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</si>
  <si>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</si>
  <si>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</si>
  <si>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</si>
  <si>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</si>
  <si>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</si>
  <si>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</si>
  <si>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</si>
  <si>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</si>
  <si>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</si>
  <si>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</si>
  <si>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</si>
  <si>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</si>
  <si>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</si>
  <si>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</si>
  <si>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</si>
  <si>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</si>
  <si>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</si>
  <si>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</si>
  <si>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</si>
  <si>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</si>
  <si>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</si>
  <si>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</si>
  <si>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</si>
  <si>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</si>
  <si>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</si>
  <si>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</si>
  <si>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</si>
  <si>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</si>
  <si>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</si>
  <si>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</si>
  <si>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</si>
  <si>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</si>
  <si>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</si>
  <si>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</si>
  <si>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</si>
  <si>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</si>
  <si>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</si>
  <si>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</si>
  <si>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</si>
  <si>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</si>
  <si>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</si>
  <si>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</si>
  <si>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</si>
  <si>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</si>
  <si>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</si>
  <si>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</si>
  <si>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</si>
  <si>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</si>
  <si>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</si>
  <si>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</si>
  <si>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</si>
  <si>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</si>
  <si>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</si>
  <si>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</si>
  <si>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</si>
  <si>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</si>
  <si>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</si>
  <si>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</si>
  <si>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</si>
  <si>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</si>
  <si>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</si>
  <si>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</si>
  <si>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Сумма: 2540 руб. 00 коп.</t>
  </si>
  <si>
    <t>Сумма: 2838 руб. 00 коп.</t>
  </si>
  <si>
    <t xml:space="preserve">00095 </t>
  </si>
  <si>
    <t xml:space="preserve">Аляутдинов Карим Ильдарович                       </t>
  </si>
  <si>
    <t xml:space="preserve">10а род             </t>
  </si>
  <si>
    <t xml:space="preserve">00072 </t>
  </si>
  <si>
    <t xml:space="preserve">Ахмеев Карим Маратович                            </t>
  </si>
  <si>
    <t xml:space="preserve">00073 </t>
  </si>
  <si>
    <t xml:space="preserve">Ахметов Алим Альбертович                          </t>
  </si>
  <si>
    <t xml:space="preserve">00074 </t>
  </si>
  <si>
    <t xml:space="preserve">Ахметов Амир Ильдарович                           </t>
  </si>
  <si>
    <t xml:space="preserve">00075 </t>
  </si>
  <si>
    <t xml:space="preserve">Ахметшин Гаяз Алмазович                           </t>
  </si>
  <si>
    <t xml:space="preserve">00076 </t>
  </si>
  <si>
    <t xml:space="preserve">Ашрапов Ильяс Атласович                           </t>
  </si>
  <si>
    <t xml:space="preserve">00078 </t>
  </si>
  <si>
    <t xml:space="preserve">Галимов Данис Ленарович                           </t>
  </si>
  <si>
    <t xml:space="preserve">00079 </t>
  </si>
  <si>
    <t xml:space="preserve">Гарипов Вильдан Фидаилевич                        </t>
  </si>
  <si>
    <t xml:space="preserve">00081 </t>
  </si>
  <si>
    <t xml:space="preserve">Гафиятов Карим Ренатович                          </t>
  </si>
  <si>
    <t>000658</t>
  </si>
  <si>
    <t xml:space="preserve">Мифтахов Амир Радикович                           </t>
  </si>
  <si>
    <t xml:space="preserve">00088 </t>
  </si>
  <si>
    <t xml:space="preserve">Нереков Глеб Петрович                             </t>
  </si>
  <si>
    <t xml:space="preserve">00089 </t>
  </si>
  <si>
    <t xml:space="preserve">Низамов Амир Мулланурович                         </t>
  </si>
  <si>
    <t xml:space="preserve">00103 </t>
  </si>
  <si>
    <t xml:space="preserve">Сарачоглу Бера                                    </t>
  </si>
  <si>
    <t xml:space="preserve">00091 </t>
  </si>
  <si>
    <t xml:space="preserve">Саттаров Рузаль Равилевич                         </t>
  </si>
  <si>
    <t xml:space="preserve">00092 </t>
  </si>
  <si>
    <t xml:space="preserve">Сафин Азар Айратович                              </t>
  </si>
  <si>
    <t>000655</t>
  </si>
  <si>
    <t xml:space="preserve">Сергеев Арсений Евгеньевич                        </t>
  </si>
  <si>
    <t xml:space="preserve">00094 </t>
  </si>
  <si>
    <t xml:space="preserve">Сулейманов Равиль Ильфатович                      </t>
  </si>
  <si>
    <t xml:space="preserve">00108 </t>
  </si>
  <si>
    <t xml:space="preserve">Хайруллин Карим Булатович                         </t>
  </si>
  <si>
    <t xml:space="preserve">00109 </t>
  </si>
  <si>
    <t xml:space="preserve">Хакимов Азат Ильнурович                           </t>
  </si>
  <si>
    <t xml:space="preserve">00110 </t>
  </si>
  <si>
    <t xml:space="preserve">Хафизов Рустам Наилевич                           </t>
  </si>
  <si>
    <t xml:space="preserve">00111 </t>
  </si>
  <si>
    <t xml:space="preserve">Шагимарданов Амир Айдарович                       </t>
  </si>
  <si>
    <t xml:space="preserve">00112 </t>
  </si>
  <si>
    <t xml:space="preserve">Шаймарданов Айрат Ильшатович                      </t>
  </si>
  <si>
    <t xml:space="preserve">00114 </t>
  </si>
  <si>
    <t xml:space="preserve">Юсубов Мухаммад Робилевич                         </t>
  </si>
  <si>
    <t>00095</t>
  </si>
  <si>
    <t>00072</t>
  </si>
  <si>
    <t>00073</t>
  </si>
  <si>
    <t>00074</t>
  </si>
  <si>
    <t>00075</t>
  </si>
  <si>
    <t>00076</t>
  </si>
  <si>
    <t>00078</t>
  </si>
  <si>
    <t>00079</t>
  </si>
  <si>
    <t>00081</t>
  </si>
  <si>
    <t>00088</t>
  </si>
  <si>
    <t>00089</t>
  </si>
  <si>
    <t>00103</t>
  </si>
  <si>
    <t>00091</t>
  </si>
  <si>
    <t>00092</t>
  </si>
  <si>
    <t>00094</t>
  </si>
  <si>
    <t>00108</t>
  </si>
  <si>
    <t>00109</t>
  </si>
  <si>
    <t>00110</t>
  </si>
  <si>
    <t>00111</t>
  </si>
  <si>
    <t>00112</t>
  </si>
  <si>
    <t>00114</t>
  </si>
  <si>
    <t>ЛС: 00095; ФИО обучающегося: Аляутдинов Карим Ильдарович                       ; Назначение: 10а род февр; КБК: 82100000000000003131; ОКТМО: 92701000</t>
  </si>
  <si>
    <t>Сумма: 13140 руб. 03 коп.</t>
  </si>
  <si>
    <t>ЛС: 00072; ФИО обучающегося: Ахмеев Карим Маратович                            ; Назначение: 10а род февр; КБК: 82100000000000003131; ОКТМО: 92701000</t>
  </si>
  <si>
    <t>ЛС: 00073; ФИО обучающегося: Ахметов Алим Альбертович                          ; Назначение: 10а род февр; КБК: 82100000000000003131; ОКТМО: 92701000</t>
  </si>
  <si>
    <t>ЛС: 00074; ФИО обучающегося: Ахметов Амир Ильдарович                           ; Назначение: 10а род февр; КБК: 82100000000000003131; ОКТМО: 92701000</t>
  </si>
  <si>
    <t>Сумма: 8031 руб. 19 коп.</t>
  </si>
  <si>
    <t>ЛС: 00075; ФИО обучающегося: Ахметшин Гаяз Алмазович                           ; Назначение: 10а род февр; КБК: 82100000000000003131; ОКТМО: 92701000</t>
  </si>
  <si>
    <t>Сумма: 7851 руб. 17 коп.</t>
  </si>
  <si>
    <t>ЛС: 00076; ФИО обучающегося: Ашрапов Ильяс Атласович                           ; Назначение: 10а род февр; КБК: 82100000000000003131; ОКТМО: 92701000</t>
  </si>
  <si>
    <t>Сумма: 1925 руб. 03 коп.</t>
  </si>
  <si>
    <t>ЛС: 00078; ФИО обучающегося: Галимов Данис Ленарович                           ; Назначение: 10а род февр; КБК: 82100000000000003131; ОКТМО: 92701000</t>
  </si>
  <si>
    <t>Сумма: 7039 руб. 43 коп.</t>
  </si>
  <si>
    <t>ЛС: 00079; ФИО обучающегося: Гарипов Вильдан Фидаилевич                        ; Назначение: 10а род февр; КБК: 82100000000000003131; ОКТМО: 92701000</t>
  </si>
  <si>
    <t>Сумма: 7712 руб. 87 коп.</t>
  </si>
  <si>
    <t>ЛС: 00080; ФИО обучающегося: Гарифуллин Амир Айдарович                         ; Назначение: 10а род февр; КБК: 82100000000000003131; ОКТМО: 92701000</t>
  </si>
  <si>
    <t>Сумма: 7926 руб. 52 коп.</t>
  </si>
  <si>
    <t>ЛС: 00081; ФИО обучающегося: Гафиятов Карим Ренатович                          ; Назначение: 10а род февр; КБК: 82100000000000003131; ОКТМО: 92701000</t>
  </si>
  <si>
    <t>Сумма: 2424 руб. 42 коп.</t>
  </si>
  <si>
    <t>ЛС: 000658; ФИО обучающегося: Мифтахов Амир Радикович                           ; Назначение: 10а род февр; КБК: 82100000000000003131; ОКТМО: 92701000</t>
  </si>
  <si>
    <t>Сумма: 4895 руб. 08 коп.</t>
  </si>
  <si>
    <t>ЛС: 00088; ФИО обучающегося: Нереков Глеб Петрович                             ; Назначение: 10а род февр; КБК: 82100000000000003131; ОКТМО: 92701000</t>
  </si>
  <si>
    <t>ЛС: 00089; ФИО обучающегося: Низамов Амир Мулланурович                         ; Назначение: 10а род февр; КБК: 82100000000000003131; ОКТМО: 92701000</t>
  </si>
  <si>
    <t>Сумма: 7178 руб. 13 коп.</t>
  </si>
  <si>
    <t>ЛС: 00103; ФИО обучающегося: Сарачоглу Бера                                    ; Назначение: 10а род февр; КБК: 82100000000000003131; ОКТМО: 92701000</t>
  </si>
  <si>
    <t>ЛС: 00091; ФИО обучающегося: Саттаров Рузаль Равилевич                         ; Назначение: 10а род февр; КБК: 82100000000000003131; ОКТМО: 92701000</t>
  </si>
  <si>
    <t>Сумма: 10395 руб. 87 коп.</t>
  </si>
  <si>
    <t>ЛС: 00092; ФИО обучающегося: Сафин Азар Айратович                              ; Назначение: 10а род февр; КБК: 82100000000000003131; ОКТМО: 92701000</t>
  </si>
  <si>
    <t>Сумма: 7694 руб. 32 коп.</t>
  </si>
  <si>
    <t>ЛС: 000655; ФИО обучающегося: Сергеев Арсений Евгеньевич                        ; Назначение: 10а род февр; КБК: 82100000000000003131; ОКТМО: 92701000</t>
  </si>
  <si>
    <t>ЛС: 00094; ФИО обучающегося: Сулейманов Равиль Ильфатович                      ; Назначение: 10а род февр; КБК: 82100000000000003131; ОКТМО: 92701000</t>
  </si>
  <si>
    <t>ЛС: 00108; ФИО обучающегося: Хайруллин Карим Булатович                         ; Назначение: 10а род февр; КБК: 82100000000000003131; ОКТМО: 92701000</t>
  </si>
  <si>
    <t>ЛС: 00109; ФИО обучающегося: Хакимов Азат Ильнурович                           ; Назначение: 10а род февр; КБК: 82100000000000003131; ОКТМО: 92701000</t>
  </si>
  <si>
    <t>ЛС: 00110; ФИО обучающегося: Хафизов Рустам Наилевич                           ; Назначение: 10а род февр; КБК: 82100000000000003131; ОКТМО: 92701000</t>
  </si>
  <si>
    <t>ЛС: 00111; ФИО обучающегося: Шагимарданов Амир Айдарович                       ; Назначение: 10а род февр; КБК: 82100000000000003131; ОКТМО: 92701000</t>
  </si>
  <si>
    <t>ЛС: 00112; ФИО обучающегося: Шаймарданов Айрат Ильшатович                      ; Назначение: 10а род февр; КБК: 82100000000000003131; ОКТМО: 92701000</t>
  </si>
  <si>
    <t>Сумма: 5399 руб. 38 коп.</t>
  </si>
  <si>
    <t>ЛС: 00114; ФИО обучающегося: Юсубов Мухаммад Робилевич                         ; Назначение: 10а род февр; КБК: 82100000000000003131; ОКТМО: 92701000</t>
  </si>
  <si>
    <t>Сумма: 10465 руб. 03 коп.</t>
  </si>
  <si>
    <t>март</t>
  </si>
  <si>
    <t>апрель</t>
  </si>
  <si>
    <t>10а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</si>
</sst>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3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21" totalsRowDxfId="19" headerRowBorderDxfId="22" tableBorderDxfId="20">
  <autoFilter ref="A6:H29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7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101" t="s">
        <v>393</v>
      </c>
      <c r="B1" s="101"/>
      <c r="C1" s="101"/>
      <c r="D1" s="101"/>
      <c r="E1" s="101"/>
      <c r="F1" s="102" t="s">
        <v>394</v>
      </c>
      <c r="G1" s="102"/>
      <c r="H1" s="102"/>
      <c r="I1" s="102"/>
      <c r="J1" s="102"/>
      <c r="K1" s="102"/>
      <c r="L1" s="102"/>
      <c r="M1" s="102"/>
    </row>
    <row r="2" spans="1:13" x14ac:dyDescent="0.25">
      <c r="A2" s="92" t="s">
        <v>398</v>
      </c>
      <c r="B2" s="92" t="s">
        <v>399</v>
      </c>
      <c r="C2" s="92" t="s">
        <v>400</v>
      </c>
      <c r="D2" s="92" t="s">
        <v>505</v>
      </c>
      <c r="E2" s="93">
        <v>18470.59</v>
      </c>
      <c r="F2" s="98" t="str">
        <f>TRIM(A2)</f>
        <v>00095</v>
      </c>
      <c r="G2" s="31" t="str">
        <f t="shared" ref="G2:G45" si="0">B2</f>
        <v xml:space="preserve">Аляутдинов Карим Ильдарович                       </v>
      </c>
      <c r="H2" s="31" t="str">
        <f>CONCATENATE(TRIM(C2)," ",D2)</f>
        <v>10а род апрель</v>
      </c>
      <c r="I2" s="94" t="s">
        <v>387</v>
      </c>
      <c r="J2" s="31">
        <v>92701000</v>
      </c>
      <c r="M2" s="31">
        <f t="shared" ref="M2:M62" si="1">E2</f>
        <v>18470.59</v>
      </c>
    </row>
    <row r="3" spans="1:13" x14ac:dyDescent="0.25">
      <c r="A3" s="92" t="s">
        <v>401</v>
      </c>
      <c r="B3" s="92" t="s">
        <v>402</v>
      </c>
      <c r="C3" s="92" t="s">
        <v>400</v>
      </c>
      <c r="D3" s="92" t="s">
        <v>505</v>
      </c>
      <c r="E3" s="93">
        <v>4798.9799999999996</v>
      </c>
      <c r="F3" s="98" t="str">
        <f t="shared" ref="F3:F65" si="2">TRIM(A3)</f>
        <v>00072</v>
      </c>
      <c r="G3" s="31" t="str">
        <f t="shared" si="0"/>
        <v xml:space="preserve">Ахмеев Карим Маратович                            </v>
      </c>
      <c r="H3" s="31" t="str">
        <f t="shared" ref="H3:H65" si="3">CONCATENATE(TRIM(C3)," ",D3)</f>
        <v>10а род апрель</v>
      </c>
      <c r="I3" s="94" t="s">
        <v>387</v>
      </c>
      <c r="J3" s="31">
        <v>92701000</v>
      </c>
      <c r="M3" s="31">
        <f t="shared" si="1"/>
        <v>4798.9799999999996</v>
      </c>
    </row>
    <row r="4" spans="1:13" x14ac:dyDescent="0.25">
      <c r="A4" s="92" t="s">
        <v>403</v>
      </c>
      <c r="B4" s="92" t="s">
        <v>404</v>
      </c>
      <c r="C4" s="92" t="s">
        <v>400</v>
      </c>
      <c r="D4" s="92" t="s">
        <v>505</v>
      </c>
      <c r="E4" s="93">
        <v>4760.03</v>
      </c>
      <c r="F4" s="98" t="str">
        <f t="shared" si="2"/>
        <v>00073</v>
      </c>
      <c r="G4" s="31" t="str">
        <f t="shared" si="0"/>
        <v xml:space="preserve">Ахметов Алим Альбертович                          </v>
      </c>
      <c r="H4" s="31" t="str">
        <f t="shared" si="3"/>
        <v>10а род апрель</v>
      </c>
      <c r="I4" s="94" t="s">
        <v>387</v>
      </c>
      <c r="J4" s="31">
        <v>92701000</v>
      </c>
      <c r="M4" s="31">
        <f t="shared" si="1"/>
        <v>4760.03</v>
      </c>
    </row>
    <row r="5" spans="1:13" x14ac:dyDescent="0.25">
      <c r="A5" s="92" t="s">
        <v>405</v>
      </c>
      <c r="B5" s="92" t="s">
        <v>406</v>
      </c>
      <c r="C5" s="92" t="s">
        <v>400</v>
      </c>
      <c r="D5" s="92" t="s">
        <v>505</v>
      </c>
      <c r="E5" s="93">
        <v>13156.63</v>
      </c>
      <c r="F5" s="98" t="str">
        <f t="shared" si="2"/>
        <v>00074</v>
      </c>
      <c r="G5" s="31" t="str">
        <f t="shared" si="0"/>
        <v xml:space="preserve">Ахметов Амир Ильдарович                           </v>
      </c>
      <c r="H5" s="31" t="str">
        <f t="shared" si="3"/>
        <v>10а род апрель</v>
      </c>
      <c r="I5" s="94" t="s">
        <v>387</v>
      </c>
      <c r="J5" s="31">
        <v>92701000</v>
      </c>
      <c r="M5" s="31">
        <f t="shared" si="1"/>
        <v>13156.63</v>
      </c>
    </row>
    <row r="6" spans="1:13" x14ac:dyDescent="0.25">
      <c r="A6" s="92" t="s">
        <v>407</v>
      </c>
      <c r="B6" s="92" t="s">
        <v>408</v>
      </c>
      <c r="C6" s="92" t="s">
        <v>400</v>
      </c>
      <c r="D6" s="92" t="s">
        <v>505</v>
      </c>
      <c r="E6" s="93">
        <v>5330.56</v>
      </c>
      <c r="F6" s="98" t="str">
        <f t="shared" si="2"/>
        <v>00075</v>
      </c>
      <c r="G6" s="31" t="str">
        <f t="shared" si="0"/>
        <v xml:space="preserve">Ахметшин Гаяз Алмазович                           </v>
      </c>
      <c r="H6" s="31" t="str">
        <f t="shared" si="3"/>
        <v>10а род апрель</v>
      </c>
      <c r="I6" s="94" t="s">
        <v>387</v>
      </c>
      <c r="J6" s="31">
        <v>92701000</v>
      </c>
      <c r="M6" s="31">
        <f t="shared" si="1"/>
        <v>5330.56</v>
      </c>
    </row>
    <row r="7" spans="1:13" x14ac:dyDescent="0.25">
      <c r="A7" s="92" t="s">
        <v>409</v>
      </c>
      <c r="B7" s="92" t="s">
        <v>410</v>
      </c>
      <c r="C7" s="92" t="s">
        <v>400</v>
      </c>
      <c r="D7" s="92" t="s">
        <v>505</v>
      </c>
      <c r="E7" s="93">
        <v>7255.59</v>
      </c>
      <c r="F7" s="98" t="str">
        <f t="shared" si="2"/>
        <v>00076</v>
      </c>
      <c r="G7" s="31" t="str">
        <f t="shared" si="0"/>
        <v xml:space="preserve">Ашрапов Ильяс Атласович                           </v>
      </c>
      <c r="H7" s="31" t="str">
        <f t="shared" si="3"/>
        <v>10а род апрель</v>
      </c>
      <c r="I7" s="94" t="s">
        <v>387</v>
      </c>
      <c r="J7" s="31">
        <v>92701000</v>
      </c>
      <c r="M7" s="31">
        <f t="shared" si="1"/>
        <v>7255.59</v>
      </c>
    </row>
    <row r="8" spans="1:13" x14ac:dyDescent="0.25">
      <c r="A8" s="92" t="s">
        <v>411</v>
      </c>
      <c r="B8" s="92" t="s">
        <v>412</v>
      </c>
      <c r="C8" s="92" t="s">
        <v>400</v>
      </c>
      <c r="D8" s="92" t="s">
        <v>505</v>
      </c>
      <c r="E8" s="93">
        <v>4849.07</v>
      </c>
      <c r="F8" s="98" t="str">
        <f t="shared" si="2"/>
        <v>00078</v>
      </c>
      <c r="G8" s="31" t="str">
        <f t="shared" si="0"/>
        <v xml:space="preserve">Галимов Данис Ленарович                           </v>
      </c>
      <c r="H8" s="31" t="str">
        <f t="shared" si="3"/>
        <v>10а род апрель</v>
      </c>
      <c r="I8" s="94" t="s">
        <v>387</v>
      </c>
      <c r="J8" s="31">
        <v>92701000</v>
      </c>
      <c r="M8" s="31">
        <f t="shared" si="1"/>
        <v>4849.07</v>
      </c>
    </row>
    <row r="9" spans="1:13" x14ac:dyDescent="0.25">
      <c r="A9" s="92" t="s">
        <v>413</v>
      </c>
      <c r="B9" s="92" t="s">
        <v>414</v>
      </c>
      <c r="C9" s="92" t="s">
        <v>400</v>
      </c>
      <c r="D9" s="92" t="s">
        <v>505</v>
      </c>
      <c r="E9" s="93">
        <v>5330.56</v>
      </c>
      <c r="F9" s="98" t="str">
        <f t="shared" si="2"/>
        <v>00079</v>
      </c>
      <c r="G9" s="31" t="str">
        <f t="shared" si="0"/>
        <v xml:space="preserve">Гарипов Вильдан Фидаилевич                        </v>
      </c>
      <c r="H9" s="31" t="str">
        <f t="shared" si="3"/>
        <v>10а род апрель</v>
      </c>
      <c r="I9" s="94" t="s">
        <v>387</v>
      </c>
      <c r="J9" s="31">
        <v>92701000</v>
      </c>
      <c r="M9" s="31">
        <f t="shared" si="1"/>
        <v>5330.56</v>
      </c>
    </row>
    <row r="10" spans="1:13" x14ac:dyDescent="0.25">
      <c r="A10" s="92" t="s">
        <v>415</v>
      </c>
      <c r="B10" s="92" t="s">
        <v>416</v>
      </c>
      <c r="C10" s="92" t="s">
        <v>400</v>
      </c>
      <c r="D10" s="92" t="s">
        <v>505</v>
      </c>
      <c r="E10" s="93">
        <v>4737.7700000000004</v>
      </c>
      <c r="F10" s="98" t="str">
        <f t="shared" si="2"/>
        <v>00081</v>
      </c>
      <c r="G10" s="31" t="str">
        <f t="shared" si="0"/>
        <v xml:space="preserve">Гафиятов Карим Ренатович                          </v>
      </c>
      <c r="H10" s="31" t="str">
        <f t="shared" si="3"/>
        <v>10а род апрель</v>
      </c>
      <c r="I10" s="94" t="s">
        <v>387</v>
      </c>
      <c r="J10" s="31">
        <v>92701000</v>
      </c>
      <c r="M10" s="31">
        <f t="shared" si="1"/>
        <v>4737.7700000000004</v>
      </c>
    </row>
    <row r="11" spans="1:13" x14ac:dyDescent="0.25">
      <c r="A11" s="92" t="s">
        <v>417</v>
      </c>
      <c r="B11" s="92" t="s">
        <v>418</v>
      </c>
      <c r="C11" s="92" t="s">
        <v>400</v>
      </c>
      <c r="D11" s="92" t="s">
        <v>505</v>
      </c>
      <c r="E11" s="93">
        <v>9669.02</v>
      </c>
      <c r="F11" s="98" t="str">
        <f t="shared" si="2"/>
        <v>000658</v>
      </c>
      <c r="G11" s="31" t="str">
        <f t="shared" si="0"/>
        <v xml:space="preserve">Мифтахов Амир Радикович                           </v>
      </c>
      <c r="H11" s="31" t="str">
        <f t="shared" si="3"/>
        <v>10а род апрель</v>
      </c>
      <c r="I11" s="94" t="s">
        <v>387</v>
      </c>
      <c r="J11" s="31">
        <v>92701000</v>
      </c>
      <c r="M11" s="31">
        <f t="shared" si="1"/>
        <v>9669.02</v>
      </c>
    </row>
    <row r="12" spans="1:13" x14ac:dyDescent="0.25">
      <c r="A12" s="92" t="s">
        <v>419</v>
      </c>
      <c r="B12" s="92" t="s">
        <v>420</v>
      </c>
      <c r="C12" s="92" t="s">
        <v>400</v>
      </c>
      <c r="D12" s="92" t="s">
        <v>505</v>
      </c>
      <c r="E12" s="93">
        <v>4849.07</v>
      </c>
      <c r="F12" s="98" t="str">
        <f t="shared" si="2"/>
        <v>00088</v>
      </c>
      <c r="G12" s="31" t="str">
        <f t="shared" si="0"/>
        <v xml:space="preserve">Нереков Глеб Петрович                             </v>
      </c>
      <c r="H12" s="31" t="str">
        <f t="shared" si="3"/>
        <v>10а род апрель</v>
      </c>
      <c r="I12" s="94" t="s">
        <v>387</v>
      </c>
      <c r="J12" s="31">
        <v>92701000</v>
      </c>
      <c r="M12" s="31">
        <f t="shared" si="1"/>
        <v>4849.07</v>
      </c>
    </row>
    <row r="13" spans="1:13" x14ac:dyDescent="0.25">
      <c r="A13" s="92" t="s">
        <v>421</v>
      </c>
      <c r="B13" s="92" t="s">
        <v>422</v>
      </c>
      <c r="C13" s="92" t="s">
        <v>400</v>
      </c>
      <c r="D13" s="92" t="s">
        <v>505</v>
      </c>
      <c r="E13" s="93">
        <v>4849.07</v>
      </c>
      <c r="F13" s="98" t="str">
        <f t="shared" si="2"/>
        <v>00089</v>
      </c>
      <c r="G13" s="31" t="str">
        <f t="shared" si="0"/>
        <v xml:space="preserve">Низамов Амир Мулланурович                         </v>
      </c>
      <c r="H13" s="31" t="str">
        <f t="shared" si="3"/>
        <v>10а род апрель</v>
      </c>
      <c r="I13" s="94" t="s">
        <v>387</v>
      </c>
      <c r="J13" s="31">
        <v>92701000</v>
      </c>
      <c r="M13" s="31">
        <f t="shared" si="1"/>
        <v>4849.07</v>
      </c>
    </row>
    <row r="14" spans="1:13" x14ac:dyDescent="0.25">
      <c r="A14" s="92" t="s">
        <v>423</v>
      </c>
      <c r="B14" s="92" t="s">
        <v>424</v>
      </c>
      <c r="C14" s="92" t="s">
        <v>400</v>
      </c>
      <c r="D14" s="92" t="s">
        <v>505</v>
      </c>
      <c r="E14" s="93">
        <v>13181.73</v>
      </c>
      <c r="F14" s="98" t="str">
        <f t="shared" si="2"/>
        <v>00103</v>
      </c>
      <c r="G14" s="31" t="str">
        <f t="shared" si="0"/>
        <v xml:space="preserve">Сарачоглу Бера                                    </v>
      </c>
      <c r="H14" s="31" t="str">
        <f t="shared" si="3"/>
        <v>10а род апрель</v>
      </c>
      <c r="I14" s="94" t="s">
        <v>387</v>
      </c>
      <c r="J14" s="31">
        <v>92701000</v>
      </c>
      <c r="M14" s="31">
        <f t="shared" si="1"/>
        <v>13181.73</v>
      </c>
    </row>
    <row r="15" spans="1:13" x14ac:dyDescent="0.25">
      <c r="A15" s="92" t="s">
        <v>425</v>
      </c>
      <c r="B15" s="92" t="s">
        <v>426</v>
      </c>
      <c r="C15" s="92" t="s">
        <v>400</v>
      </c>
      <c r="D15" s="92" t="s">
        <v>505</v>
      </c>
      <c r="E15" s="93">
        <v>15559.94</v>
      </c>
      <c r="F15" s="98" t="str">
        <f t="shared" si="2"/>
        <v>00091</v>
      </c>
      <c r="G15" s="31" t="str">
        <f t="shared" si="0"/>
        <v xml:space="preserve">Саттаров Рузаль Равилевич                         </v>
      </c>
      <c r="H15" s="31" t="str">
        <f t="shared" si="3"/>
        <v>10а род апрель</v>
      </c>
      <c r="I15" s="94" t="s">
        <v>387</v>
      </c>
      <c r="J15" s="31">
        <v>92701000</v>
      </c>
      <c r="M15" s="31">
        <f t="shared" si="1"/>
        <v>15559.94</v>
      </c>
    </row>
    <row r="16" spans="1:13" x14ac:dyDescent="0.25">
      <c r="A16" s="92" t="s">
        <v>427</v>
      </c>
      <c r="B16" s="92" t="s">
        <v>428</v>
      </c>
      <c r="C16" s="92" t="s">
        <v>400</v>
      </c>
      <c r="D16" s="92" t="s">
        <v>505</v>
      </c>
      <c r="E16" s="93">
        <v>5330.56</v>
      </c>
      <c r="F16" s="98" t="str">
        <f t="shared" si="2"/>
        <v>00092</v>
      </c>
      <c r="G16" s="31" t="str">
        <f t="shared" si="0"/>
        <v xml:space="preserve">Сафин Азар Айратович                              </v>
      </c>
      <c r="H16" s="31" t="str">
        <f t="shared" si="3"/>
        <v>10а род апрель</v>
      </c>
      <c r="I16" s="94" t="s">
        <v>387</v>
      </c>
      <c r="J16" s="31">
        <v>92701000</v>
      </c>
      <c r="M16" s="31">
        <f t="shared" si="1"/>
        <v>5330.56</v>
      </c>
    </row>
    <row r="17" spans="1:13" x14ac:dyDescent="0.25">
      <c r="A17" s="92" t="s">
        <v>429</v>
      </c>
      <c r="B17" s="92" t="s">
        <v>430</v>
      </c>
      <c r="C17" s="92" t="s">
        <v>400</v>
      </c>
      <c r="D17" s="92" t="s">
        <v>505</v>
      </c>
      <c r="E17" s="93">
        <v>9744.15</v>
      </c>
      <c r="F17" s="98" t="str">
        <f t="shared" si="2"/>
        <v>000655</v>
      </c>
      <c r="G17" s="31" t="str">
        <f t="shared" si="0"/>
        <v xml:space="preserve">Сергеев Арсений Евгеньевич                        </v>
      </c>
      <c r="H17" s="31" t="str">
        <f t="shared" si="3"/>
        <v>10а род апрель</v>
      </c>
      <c r="I17" s="94" t="s">
        <v>387</v>
      </c>
      <c r="J17" s="31">
        <v>92701000</v>
      </c>
      <c r="M17" s="31">
        <f t="shared" si="1"/>
        <v>9744.15</v>
      </c>
    </row>
    <row r="18" spans="1:13" x14ac:dyDescent="0.25">
      <c r="A18" s="92" t="s">
        <v>431</v>
      </c>
      <c r="B18" s="92" t="s">
        <v>432</v>
      </c>
      <c r="C18" s="92" t="s">
        <v>400</v>
      </c>
      <c r="D18" s="92" t="s">
        <v>505</v>
      </c>
      <c r="E18" s="93">
        <v>5330.56</v>
      </c>
      <c r="F18" s="98" t="str">
        <f t="shared" si="2"/>
        <v>00094</v>
      </c>
      <c r="G18" s="31" t="str">
        <f t="shared" si="0"/>
        <v xml:space="preserve">Сулейманов Равиль Ильфатович                      </v>
      </c>
      <c r="H18" s="31" t="str">
        <f t="shared" si="3"/>
        <v>10а род апрель</v>
      </c>
      <c r="I18" s="94" t="s">
        <v>387</v>
      </c>
      <c r="J18" s="31">
        <v>92701000</v>
      </c>
      <c r="M18" s="31">
        <f t="shared" si="1"/>
        <v>5330.56</v>
      </c>
    </row>
    <row r="19" spans="1:13" x14ac:dyDescent="0.25">
      <c r="A19" s="92" t="s">
        <v>433</v>
      </c>
      <c r="B19" s="92" t="s">
        <v>434</v>
      </c>
      <c r="C19" s="92" t="s">
        <v>400</v>
      </c>
      <c r="D19" s="92" t="s">
        <v>505</v>
      </c>
      <c r="E19" s="93">
        <v>5164.07</v>
      </c>
      <c r="F19" s="98" t="str">
        <f t="shared" si="2"/>
        <v>00108</v>
      </c>
      <c r="G19" s="31" t="str">
        <f t="shared" si="0"/>
        <v xml:space="preserve">Хайруллин Карим Булатович                         </v>
      </c>
      <c r="H19" s="31" t="str">
        <f t="shared" si="3"/>
        <v>10а род апрель</v>
      </c>
      <c r="I19" s="94" t="s">
        <v>387</v>
      </c>
      <c r="J19" s="31">
        <v>92701000</v>
      </c>
      <c r="M19" s="31">
        <f t="shared" si="1"/>
        <v>5164.07</v>
      </c>
    </row>
    <row r="20" spans="1:13" x14ac:dyDescent="0.25">
      <c r="A20" s="92" t="s">
        <v>435</v>
      </c>
      <c r="B20" s="92" t="s">
        <v>436</v>
      </c>
      <c r="C20" s="92" t="s">
        <v>400</v>
      </c>
      <c r="D20" s="92" t="s">
        <v>505</v>
      </c>
      <c r="E20" s="93">
        <v>5330.56</v>
      </c>
      <c r="F20" s="98" t="str">
        <f t="shared" si="2"/>
        <v>00109</v>
      </c>
      <c r="G20" s="31" t="str">
        <f t="shared" si="0"/>
        <v xml:space="preserve">Хакимов Азат Ильнурович                           </v>
      </c>
      <c r="H20" s="31" t="str">
        <f t="shared" si="3"/>
        <v>10а род апрель</v>
      </c>
      <c r="I20" s="94" t="s">
        <v>387</v>
      </c>
      <c r="J20" s="31">
        <v>92701000</v>
      </c>
      <c r="M20" s="31">
        <f t="shared" si="1"/>
        <v>5330.56</v>
      </c>
    </row>
    <row r="21" spans="1:13" x14ac:dyDescent="0.25">
      <c r="A21" s="92" t="s">
        <v>437</v>
      </c>
      <c r="B21" s="92" t="s">
        <v>438</v>
      </c>
      <c r="C21" s="92" t="s">
        <v>400</v>
      </c>
      <c r="D21" s="92" t="s">
        <v>505</v>
      </c>
      <c r="E21" s="93">
        <v>2780.56</v>
      </c>
      <c r="F21" s="98" t="str">
        <f t="shared" si="2"/>
        <v>00110</v>
      </c>
      <c r="G21" s="31" t="str">
        <f t="shared" si="0"/>
        <v xml:space="preserve">Хафизов Рустам Наилевич                           </v>
      </c>
      <c r="H21" s="31" t="str">
        <f t="shared" si="3"/>
        <v>10а род апрель</v>
      </c>
      <c r="I21" s="94" t="s">
        <v>387</v>
      </c>
      <c r="J21" s="31">
        <v>92701000</v>
      </c>
      <c r="M21" s="31">
        <f t="shared" si="1"/>
        <v>2780.56</v>
      </c>
    </row>
    <row r="22" spans="1:13" x14ac:dyDescent="0.25">
      <c r="A22" s="92" t="s">
        <v>439</v>
      </c>
      <c r="B22" s="92" t="s">
        <v>440</v>
      </c>
      <c r="C22" s="92" t="s">
        <v>400</v>
      </c>
      <c r="D22" s="92" t="s">
        <v>505</v>
      </c>
      <c r="E22" s="93">
        <v>2540</v>
      </c>
      <c r="F22" s="98" t="str">
        <f t="shared" si="2"/>
        <v>00111</v>
      </c>
      <c r="G22" s="31" t="str">
        <f t="shared" si="0"/>
        <v xml:space="preserve">Шагимарданов Амир Айдарович                       </v>
      </c>
      <c r="H22" s="31" t="str">
        <f t="shared" si="3"/>
        <v>10а род апрель</v>
      </c>
      <c r="I22" s="94" t="s">
        <v>387</v>
      </c>
      <c r="J22" s="31">
        <v>92701000</v>
      </c>
      <c r="M22" s="31">
        <f t="shared" si="1"/>
        <v>2540</v>
      </c>
    </row>
    <row r="23" spans="1:13" x14ac:dyDescent="0.25">
      <c r="A23" s="92" t="s">
        <v>441</v>
      </c>
      <c r="B23" s="92" t="s">
        <v>442</v>
      </c>
      <c r="C23" s="92" t="s">
        <v>400</v>
      </c>
      <c r="D23" s="92" t="s">
        <v>505</v>
      </c>
      <c r="E23" s="93">
        <v>10729.94</v>
      </c>
      <c r="F23" s="98" t="str">
        <f t="shared" si="2"/>
        <v>00112</v>
      </c>
      <c r="G23" s="31" t="str">
        <f t="shared" si="0"/>
        <v xml:space="preserve">Шаймарданов Айрат Ильшатович                      </v>
      </c>
      <c r="H23" s="31" t="str">
        <f t="shared" si="3"/>
        <v>10а род апрель</v>
      </c>
      <c r="I23" s="94" t="s">
        <v>387</v>
      </c>
      <c r="J23" s="31">
        <v>92701000</v>
      </c>
      <c r="M23" s="31">
        <f t="shared" si="1"/>
        <v>10729.94</v>
      </c>
    </row>
    <row r="24" spans="1:13" x14ac:dyDescent="0.25">
      <c r="A24" s="92" t="s">
        <v>443</v>
      </c>
      <c r="B24" s="92" t="s">
        <v>444</v>
      </c>
      <c r="C24" s="92" t="s">
        <v>400</v>
      </c>
      <c r="D24" s="92" t="s">
        <v>505</v>
      </c>
      <c r="E24" s="93">
        <v>15795.59</v>
      </c>
      <c r="F24" s="98" t="str">
        <f t="shared" si="2"/>
        <v>00114</v>
      </c>
      <c r="G24" s="31" t="str">
        <f t="shared" si="0"/>
        <v xml:space="preserve">Юсубов Мухаммад Робилевич                         </v>
      </c>
      <c r="H24" s="31" t="str">
        <f t="shared" si="3"/>
        <v>10а род апрель</v>
      </c>
      <c r="I24" s="94" t="s">
        <v>387</v>
      </c>
      <c r="J24" s="31">
        <v>92701000</v>
      </c>
      <c r="M24" s="31">
        <f t="shared" si="1"/>
        <v>15795.59</v>
      </c>
    </row>
    <row r="25" spans="1:13" x14ac:dyDescent="0.25">
      <c r="A25" s="92" t="s">
        <v>441</v>
      </c>
      <c r="B25" s="92" t="s">
        <v>442</v>
      </c>
      <c r="C25" s="92" t="s">
        <v>400</v>
      </c>
      <c r="D25" s="92" t="s">
        <v>504</v>
      </c>
      <c r="E25" s="93">
        <v>7891.94</v>
      </c>
      <c r="F25" s="98" t="str">
        <f t="shared" si="2"/>
        <v>00112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род март</v>
      </c>
      <c r="I25" s="94" t="s">
        <v>387</v>
      </c>
      <c r="J25" s="31">
        <v>92701000</v>
      </c>
      <c r="M25" s="31">
        <f t="shared" si="1"/>
        <v>7891.94</v>
      </c>
    </row>
    <row r="26" spans="1:13" x14ac:dyDescent="0.25">
      <c r="A26" s="92" t="s">
        <v>443</v>
      </c>
      <c r="B26" s="92" t="s">
        <v>444</v>
      </c>
      <c r="C26" s="92" t="s">
        <v>400</v>
      </c>
      <c r="D26" s="92" t="s">
        <v>504</v>
      </c>
      <c r="E26" s="93">
        <v>12957.59</v>
      </c>
      <c r="F26" s="98" t="str">
        <f t="shared" si="2"/>
        <v>00114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род март</v>
      </c>
      <c r="I26" s="94" t="s">
        <v>387</v>
      </c>
      <c r="J26" s="31">
        <v>92701000</v>
      </c>
      <c r="M26" s="31">
        <f t="shared" si="1"/>
        <v>12957.59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ref="G46:G109" si="4">B46</f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ref="M63:M126" si="5">E63</f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ref="F66:F129" si="6">TRIM(A66)</f>
        <v/>
      </c>
      <c r="G66" s="31">
        <f t="shared" si="4"/>
        <v>0</v>
      </c>
      <c r="H66" s="31" t="str">
        <f t="shared" ref="H66:H129" si="7">CONCATENATE(TRIM(C66)," ",D66)</f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ref="G110:G173" si="8">B110</f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ref="M127:M190" si="9">E127</f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ref="F130:F193" si="10">TRIM(A130)</f>
        <v/>
      </c>
      <c r="G130" s="31">
        <f t="shared" si="8"/>
        <v>0</v>
      </c>
      <c r="H130" s="31" t="str">
        <f t="shared" ref="H130:H193" si="11">CONCATENATE(TRIM(C130)," ",D130)</f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ref="G174:G237" si="12">B174</f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ref="M191:M254" si="13">E191</f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ref="F194:F257" si="14">TRIM(A194)</f>
        <v/>
      </c>
      <c r="G194" s="31">
        <f t="shared" si="12"/>
        <v>0</v>
      </c>
      <c r="H194" s="31" t="str">
        <f t="shared" ref="H194:H257" si="15">CONCATENATE(TRIM(C194)," ",D194)</f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ref="G238:G301" si="16">B238</f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ref="M255:M318" si="17">E255</f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ref="F258:F321" si="18">TRIM(A258)</f>
        <v/>
      </c>
      <c r="G258" s="31">
        <f t="shared" si="16"/>
        <v>0</v>
      </c>
      <c r="H258" s="31" t="str">
        <f t="shared" ref="H258:H321" si="19">CONCATENATE(TRIM(C258)," ",D258)</f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ref="G302:G365" si="20">B302</f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ref="M319:M382" si="21">E319</f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ref="F322:F385" si="22">TRIM(A322)</f>
        <v/>
      </c>
      <c r="G322" s="31">
        <f t="shared" si="20"/>
        <v>0</v>
      </c>
      <c r="H322" s="31" t="str">
        <f t="shared" ref="H322:H385" si="23">CONCATENATE(TRIM(C322)," ",D322)</f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ref="G366:G429" si="24">B366</f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ref="M383:M446" si="25">E383</f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ref="F386:F449" si="26">TRIM(A386)</f>
        <v/>
      </c>
      <c r="G386" s="31">
        <f t="shared" si="24"/>
        <v>0</v>
      </c>
      <c r="H386" s="31" t="str">
        <f t="shared" ref="H386:H449" si="27">CONCATENATE(TRIM(C386)," ",D386)</f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ref="G430:G493" si="28">B430</f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ref="M447:M510" si="29">E447</f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ref="F450:F513" si="30">TRIM(A450)</f>
        <v/>
      </c>
      <c r="G450" s="31">
        <f t="shared" si="28"/>
        <v>0</v>
      </c>
      <c r="H450" s="31" t="str">
        <f t="shared" ref="H450:H513" si="31">CONCATENATE(TRIM(C450)," ",D450)</f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ref="G494:G557" si="32">B494</f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ref="M511:M574" si="33">E511</f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ref="F514:F577" si="34">TRIM(A514)</f>
        <v/>
      </c>
      <c r="G514" s="31">
        <f t="shared" si="32"/>
        <v>0</v>
      </c>
      <c r="H514" s="31" t="str">
        <f t="shared" ref="H514:H577" si="35">CONCATENATE(TRIM(C514)," ",D514)</f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ref="G558:G621" si="36">B558</f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ref="M575:M638" si="37">E575</f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ref="F578:F641" si="38">TRIM(A578)</f>
        <v/>
      </c>
      <c r="G578" s="31">
        <f t="shared" si="36"/>
        <v>0</v>
      </c>
      <c r="H578" s="31" t="str">
        <f t="shared" ref="H578:H641" si="39">CONCATENATE(TRIM(C578)," ",D578)</f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ref="G622:G685" si="40">B622</f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ref="M639:M702" si="41">E639</f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ref="F642:F705" si="42">TRIM(A642)</f>
        <v/>
      </c>
      <c r="G642" s="31">
        <f t="shared" si="40"/>
        <v>0</v>
      </c>
      <c r="H642" s="31" t="str">
        <f t="shared" ref="H642:H705" si="43">CONCATENATE(TRIM(C642)," ",D642)</f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ref="G686:G749" si="44">B686</f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ref="M703:M766" si="45">E703</f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ref="F706:F769" si="46">TRIM(A706)</f>
        <v/>
      </c>
      <c r="G706" s="31">
        <f t="shared" si="44"/>
        <v>0</v>
      </c>
      <c r="H706" s="31" t="str">
        <f t="shared" ref="H706:H769" si="47">CONCATENATE(TRIM(C706)," ",D706)</f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ref="G750:G813" si="48">B750</f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ref="M767:M830" si="49">E767</f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ref="F770:F833" si="50">TRIM(A770)</f>
        <v/>
      </c>
      <c r="G770" s="31">
        <f t="shared" si="48"/>
        <v>0</v>
      </c>
      <c r="H770" s="31" t="str">
        <f t="shared" ref="H770:H833" si="51">CONCATENATE(TRIM(C770)," ",D770)</f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ref="G814:G877" si="52">B814</f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ref="M831:M894" si="53">E831</f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ref="F834:F897" si="54">TRIM(A834)</f>
        <v/>
      </c>
      <c r="G834" s="31">
        <f t="shared" si="52"/>
        <v>0</v>
      </c>
      <c r="H834" s="31" t="str">
        <f t="shared" ref="H834:H897" si="55">CONCATENATE(TRIM(C834)," ",D834)</f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ref="G878:G941" si="56">B878</f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ref="M895:M958" si="57">E895</f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ref="F898:F961" si="58">TRIM(A898)</f>
        <v/>
      </c>
      <c r="G898" s="31">
        <f t="shared" si="56"/>
        <v>0</v>
      </c>
      <c r="H898" s="31" t="str">
        <f t="shared" ref="H898:H961" si="59">CONCATENATE(TRIM(C898)," ",D898)</f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ref="G942:G1005" si="60">B942</f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ref="M959:M1022" si="61">E959</f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ref="F962:F1025" si="62">TRIM(A962)</f>
        <v/>
      </c>
      <c r="G962" s="31">
        <f t="shared" si="60"/>
        <v>0</v>
      </c>
      <c r="H962" s="31" t="str">
        <f t="shared" ref="H962:H1025" si="63">CONCATENATE(TRIM(C962)," ",D962)</f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ref="G1006:G1069" si="64">B1006</f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ref="M1023:M1086" si="65">E1023</f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ref="F1026:F1089" si="66">TRIM(A1026)</f>
        <v/>
      </c>
      <c r="G1026" s="31">
        <f t="shared" si="64"/>
        <v>0</v>
      </c>
      <c r="H1026" s="31" t="str">
        <f t="shared" ref="H1026:H1089" si="67">CONCATENATE(TRIM(C1026)," ",D1026)</f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ref="G1070:G1133" si="68">B1070</f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ref="M1087:M1150" si="69">E1087</f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ref="F1090:F1153" si="70">TRIM(A1090)</f>
        <v/>
      </c>
      <c r="G1090" s="31">
        <f t="shared" si="68"/>
        <v>0</v>
      </c>
      <c r="H1090" s="31" t="str">
        <f t="shared" ref="H1090:H1153" si="71">CONCATENATE(TRIM(C1090)," ",D1090)</f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ref="G1134:G1197" si="72">B1134</f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ref="M1151:M1214" si="73">E1151</f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ref="F1154:F1217" si="74">TRIM(A1154)</f>
        <v/>
      </c>
      <c r="G1154" s="31">
        <f t="shared" si="72"/>
        <v>0</v>
      </c>
      <c r="H1154" s="31" t="str">
        <f t="shared" ref="H1154:H1217" si="75">CONCATENATE(TRIM(C1154)," ",D1154)</f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ref="G1198:G1261" si="76">B1198</f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ref="M1215:M1278" si="77">E1215</f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ref="F1218:F1281" si="78">TRIM(A1218)</f>
        <v/>
      </c>
      <c r="G1218" s="31">
        <f t="shared" si="76"/>
        <v>0</v>
      </c>
      <c r="H1218" s="31" t="str">
        <f t="shared" ref="H1218:H1281" si="79">CONCATENATE(TRIM(C1218)," ",D1218)</f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ref="G1262:G1296" si="80">B1262</f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ref="M1279:M1296" si="81">E1279</f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si="81"/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ref="F1282:F1296" si="82">TRIM(A1282)</f>
        <v/>
      </c>
      <c r="G1282" s="31">
        <f t="shared" si="80"/>
        <v>0</v>
      </c>
      <c r="H1282" s="31" t="str">
        <f t="shared" ref="H1282:H1307" si="83">CONCATENATE(TRIM(C1282)," ",D1282)</f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7:10" x14ac:dyDescent="0.25">
      <c r="G1297" s="31">
        <f t="shared" ref="G1297:G1307" si="84">B1297</f>
        <v>0</v>
      </c>
      <c r="H1297" s="31" t="str">
        <f t="shared" si="83"/>
        <v xml:space="preserve"> </v>
      </c>
      <c r="I1297" s="94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7:10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A30" sqref="A30:XFD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179544.6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445</v>
      </c>
      <c r="B7" s="84" t="s">
        <v>399</v>
      </c>
      <c r="C7" s="84" t="s">
        <v>506</v>
      </c>
      <c r="D7" s="84" t="s">
        <v>387</v>
      </c>
      <c r="E7" s="87">
        <v>92701000</v>
      </c>
      <c r="F7" s="84"/>
      <c r="G7" s="84"/>
      <c r="H7" s="86">
        <v>18470.59</v>
      </c>
    </row>
    <row r="8" spans="1:8" x14ac:dyDescent="0.25">
      <c r="A8" s="95" t="s">
        <v>446</v>
      </c>
      <c r="B8" s="95" t="s">
        <v>402</v>
      </c>
      <c r="C8" s="95" t="s">
        <v>506</v>
      </c>
      <c r="D8" s="95" t="s">
        <v>387</v>
      </c>
      <c r="E8" s="95">
        <v>92701000</v>
      </c>
      <c r="F8" s="95"/>
      <c r="G8" s="95"/>
      <c r="H8" s="96">
        <v>4798.9799999999996</v>
      </c>
    </row>
    <row r="9" spans="1:8" x14ac:dyDescent="0.25">
      <c r="A9" s="95" t="s">
        <v>447</v>
      </c>
      <c r="B9" s="95" t="s">
        <v>404</v>
      </c>
      <c r="C9" s="95" t="s">
        <v>506</v>
      </c>
      <c r="D9" s="95" t="s">
        <v>387</v>
      </c>
      <c r="E9" s="95">
        <v>92701000</v>
      </c>
      <c r="F9" s="95"/>
      <c r="G9" s="95"/>
      <c r="H9" s="96">
        <v>4760.03</v>
      </c>
    </row>
    <row r="10" spans="1:8" x14ac:dyDescent="0.25">
      <c r="A10" s="99" t="s">
        <v>448</v>
      </c>
      <c r="B10" s="87" t="s">
        <v>406</v>
      </c>
      <c r="C10" s="87" t="s">
        <v>506</v>
      </c>
      <c r="D10" s="100" t="s">
        <v>387</v>
      </c>
      <c r="E10" s="87">
        <v>92701000</v>
      </c>
      <c r="F10" s="87"/>
      <c r="G10" s="87"/>
      <c r="H10" s="87">
        <v>13156.63</v>
      </c>
    </row>
    <row r="11" spans="1:8" x14ac:dyDescent="0.25">
      <c r="A11" s="99" t="s">
        <v>449</v>
      </c>
      <c r="B11" s="87" t="s">
        <v>408</v>
      </c>
      <c r="C11" s="87" t="s">
        <v>506</v>
      </c>
      <c r="D11" s="100" t="s">
        <v>387</v>
      </c>
      <c r="E11" s="87">
        <v>92701000</v>
      </c>
      <c r="F11" s="87"/>
      <c r="G11" s="87"/>
      <c r="H11" s="87">
        <v>5330.56</v>
      </c>
    </row>
    <row r="12" spans="1:8" x14ac:dyDescent="0.25">
      <c r="A12" s="99" t="s">
        <v>450</v>
      </c>
      <c r="B12" s="87" t="s">
        <v>410</v>
      </c>
      <c r="C12" s="87" t="s">
        <v>506</v>
      </c>
      <c r="D12" s="100" t="s">
        <v>387</v>
      </c>
      <c r="E12" s="87">
        <v>92701000</v>
      </c>
      <c r="F12" s="87"/>
      <c r="G12" s="87"/>
      <c r="H12" s="87">
        <v>7255.59</v>
      </c>
    </row>
    <row r="13" spans="1:8" x14ac:dyDescent="0.25">
      <c r="A13" s="99" t="s">
        <v>451</v>
      </c>
      <c r="B13" s="87" t="s">
        <v>412</v>
      </c>
      <c r="C13" s="87" t="s">
        <v>506</v>
      </c>
      <c r="D13" s="100" t="s">
        <v>387</v>
      </c>
      <c r="E13" s="87">
        <v>92701000</v>
      </c>
      <c r="F13" s="87"/>
      <c r="G13" s="87"/>
      <c r="H13" s="87">
        <v>4849.07</v>
      </c>
    </row>
    <row r="14" spans="1:8" x14ac:dyDescent="0.25">
      <c r="A14" s="99" t="s">
        <v>452</v>
      </c>
      <c r="B14" s="87" t="s">
        <v>414</v>
      </c>
      <c r="C14" s="87" t="s">
        <v>506</v>
      </c>
      <c r="D14" s="100" t="s">
        <v>387</v>
      </c>
      <c r="E14" s="87">
        <v>92701000</v>
      </c>
      <c r="F14" s="87"/>
      <c r="G14" s="87"/>
      <c r="H14" s="87">
        <v>5330.56</v>
      </c>
    </row>
    <row r="15" spans="1:8" x14ac:dyDescent="0.25">
      <c r="A15" s="99" t="s">
        <v>453</v>
      </c>
      <c r="B15" s="87" t="s">
        <v>416</v>
      </c>
      <c r="C15" s="87" t="s">
        <v>506</v>
      </c>
      <c r="D15" s="100" t="s">
        <v>387</v>
      </c>
      <c r="E15" s="87">
        <v>92701000</v>
      </c>
      <c r="F15" s="87"/>
      <c r="G15" s="87"/>
      <c r="H15" s="87">
        <v>4737.7700000000004</v>
      </c>
    </row>
    <row r="16" spans="1:8" x14ac:dyDescent="0.25">
      <c r="A16" s="99" t="s">
        <v>417</v>
      </c>
      <c r="B16" s="87" t="s">
        <v>418</v>
      </c>
      <c r="C16" s="87" t="s">
        <v>506</v>
      </c>
      <c r="D16" s="100" t="s">
        <v>387</v>
      </c>
      <c r="E16" s="87">
        <v>92701000</v>
      </c>
      <c r="F16" s="87"/>
      <c r="G16" s="87"/>
      <c r="H16" s="87">
        <v>9669.02</v>
      </c>
    </row>
    <row r="17" spans="1:8" x14ac:dyDescent="0.25">
      <c r="A17" s="99" t="s">
        <v>454</v>
      </c>
      <c r="B17" s="87" t="s">
        <v>420</v>
      </c>
      <c r="C17" s="87" t="s">
        <v>506</v>
      </c>
      <c r="D17" s="100" t="s">
        <v>387</v>
      </c>
      <c r="E17" s="87">
        <v>92701000</v>
      </c>
      <c r="F17" s="87"/>
      <c r="G17" s="87"/>
      <c r="H17" s="87">
        <v>4849.07</v>
      </c>
    </row>
    <row r="18" spans="1:8" x14ac:dyDescent="0.25">
      <c r="A18" s="99" t="s">
        <v>455</v>
      </c>
      <c r="B18" s="87" t="s">
        <v>422</v>
      </c>
      <c r="C18" s="87" t="s">
        <v>506</v>
      </c>
      <c r="D18" s="100" t="s">
        <v>387</v>
      </c>
      <c r="E18" s="87">
        <v>92701000</v>
      </c>
      <c r="F18" s="87"/>
      <c r="G18" s="87"/>
      <c r="H18" s="87">
        <v>4849.07</v>
      </c>
    </row>
    <row r="19" spans="1:8" x14ac:dyDescent="0.25">
      <c r="A19" s="99" t="s">
        <v>456</v>
      </c>
      <c r="B19" s="87" t="s">
        <v>424</v>
      </c>
      <c r="C19" s="87" t="s">
        <v>506</v>
      </c>
      <c r="D19" s="100" t="s">
        <v>387</v>
      </c>
      <c r="E19" s="87">
        <v>92701000</v>
      </c>
      <c r="F19" s="87"/>
      <c r="G19" s="87"/>
      <c r="H19" s="87">
        <v>13181.73</v>
      </c>
    </row>
    <row r="20" spans="1:8" x14ac:dyDescent="0.25">
      <c r="A20" s="99" t="s">
        <v>457</v>
      </c>
      <c r="B20" s="87" t="s">
        <v>426</v>
      </c>
      <c r="C20" s="87" t="s">
        <v>506</v>
      </c>
      <c r="D20" s="100" t="s">
        <v>387</v>
      </c>
      <c r="E20" s="87">
        <v>92701000</v>
      </c>
      <c r="F20" s="87"/>
      <c r="G20" s="87"/>
      <c r="H20" s="87">
        <v>15559.94</v>
      </c>
    </row>
    <row r="21" spans="1:8" x14ac:dyDescent="0.25">
      <c r="A21" s="99" t="s">
        <v>458</v>
      </c>
      <c r="B21" s="87" t="s">
        <v>428</v>
      </c>
      <c r="C21" s="87" t="s">
        <v>506</v>
      </c>
      <c r="D21" s="100" t="s">
        <v>387</v>
      </c>
      <c r="E21" s="87">
        <v>92701000</v>
      </c>
      <c r="F21" s="87"/>
      <c r="G21" s="87"/>
      <c r="H21" s="87">
        <v>5330.56</v>
      </c>
    </row>
    <row r="22" spans="1:8" x14ac:dyDescent="0.25">
      <c r="A22" s="99" t="s">
        <v>429</v>
      </c>
      <c r="B22" s="87" t="s">
        <v>430</v>
      </c>
      <c r="C22" s="87" t="s">
        <v>506</v>
      </c>
      <c r="D22" s="100" t="s">
        <v>387</v>
      </c>
      <c r="E22" s="87">
        <v>92701000</v>
      </c>
      <c r="F22" s="87"/>
      <c r="G22" s="87"/>
      <c r="H22" s="87">
        <v>9744.15</v>
      </c>
    </row>
    <row r="23" spans="1:8" x14ac:dyDescent="0.25">
      <c r="A23" s="99" t="s">
        <v>459</v>
      </c>
      <c r="B23" s="87" t="s">
        <v>432</v>
      </c>
      <c r="C23" s="87" t="s">
        <v>506</v>
      </c>
      <c r="D23" s="100" t="s">
        <v>387</v>
      </c>
      <c r="E23" s="87">
        <v>92701000</v>
      </c>
      <c r="F23" s="87"/>
      <c r="G23" s="87"/>
      <c r="H23" s="87">
        <v>5330.56</v>
      </c>
    </row>
    <row r="24" spans="1:8" x14ac:dyDescent="0.25">
      <c r="A24" s="99" t="s">
        <v>460</v>
      </c>
      <c r="B24" s="87" t="s">
        <v>434</v>
      </c>
      <c r="C24" s="87" t="s">
        <v>506</v>
      </c>
      <c r="D24" s="100" t="s">
        <v>387</v>
      </c>
      <c r="E24" s="87">
        <v>92701000</v>
      </c>
      <c r="F24" s="87"/>
      <c r="G24" s="87"/>
      <c r="H24" s="87">
        <v>5164.07</v>
      </c>
    </row>
    <row r="25" spans="1:8" x14ac:dyDescent="0.25">
      <c r="A25" s="99" t="s">
        <v>461</v>
      </c>
      <c r="B25" s="87" t="s">
        <v>436</v>
      </c>
      <c r="C25" s="87" t="s">
        <v>506</v>
      </c>
      <c r="D25" s="100" t="s">
        <v>387</v>
      </c>
      <c r="E25" s="87">
        <v>92701000</v>
      </c>
      <c r="F25" s="87"/>
      <c r="G25" s="87"/>
      <c r="H25" s="87">
        <v>5330.56</v>
      </c>
    </row>
    <row r="26" spans="1:8" x14ac:dyDescent="0.25">
      <c r="A26" s="99" t="s">
        <v>462</v>
      </c>
      <c r="B26" s="87" t="s">
        <v>438</v>
      </c>
      <c r="C26" s="87" t="s">
        <v>506</v>
      </c>
      <c r="D26" s="100" t="s">
        <v>387</v>
      </c>
      <c r="E26" s="87">
        <v>92701000</v>
      </c>
      <c r="F26" s="87"/>
      <c r="G26" s="87"/>
      <c r="H26" s="87">
        <v>2780.56</v>
      </c>
    </row>
    <row r="27" spans="1:8" x14ac:dyDescent="0.25">
      <c r="A27" s="99" t="s">
        <v>463</v>
      </c>
      <c r="B27" s="87" t="s">
        <v>440</v>
      </c>
      <c r="C27" s="87" t="s">
        <v>506</v>
      </c>
      <c r="D27" s="100" t="s">
        <v>387</v>
      </c>
      <c r="E27" s="87">
        <v>92701000</v>
      </c>
      <c r="F27" s="87"/>
      <c r="G27" s="87"/>
      <c r="H27" s="87">
        <v>2540</v>
      </c>
    </row>
    <row r="28" spans="1:8" x14ac:dyDescent="0.25">
      <c r="A28" s="99" t="s">
        <v>464</v>
      </c>
      <c r="B28" s="87" t="s">
        <v>442</v>
      </c>
      <c r="C28" s="87" t="s">
        <v>506</v>
      </c>
      <c r="D28" s="100" t="s">
        <v>387</v>
      </c>
      <c r="E28" s="87">
        <v>92701000</v>
      </c>
      <c r="F28" s="87"/>
      <c r="G28" s="87"/>
      <c r="H28" s="87">
        <v>10729.94</v>
      </c>
    </row>
    <row r="29" spans="1:8" x14ac:dyDescent="0.25">
      <c r="A29" s="99" t="s">
        <v>465</v>
      </c>
      <c r="B29" s="87" t="s">
        <v>444</v>
      </c>
      <c r="C29" s="87" t="s">
        <v>506</v>
      </c>
      <c r="D29" s="100" t="s">
        <v>387</v>
      </c>
      <c r="E29" s="87">
        <v>92701000</v>
      </c>
      <c r="F29" s="87"/>
      <c r="G29" s="87"/>
      <c r="H29" s="87">
        <v>15795.59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5"/>
    </row>
    <row r="3" spans="1:46" s="13" customFormat="1" ht="12.75" customHeight="1" x14ac:dyDescent="0.2">
      <c r="A3" s="103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6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5"/>
    </row>
    <row r="4" spans="1:46" s="13" customFormat="1" ht="6" customHeight="1" x14ac:dyDescent="0.2">
      <c r="A4" s="103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5"/>
    </row>
    <row r="24" spans="1:46" s="13" customFormat="1" ht="12.75" customHeight="1" x14ac:dyDescent="0.2">
      <c r="A24" s="106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06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5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5"/>
      <c r="X44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5"/>
    </row>
    <row r="45" spans="1:46" s="13" customFormat="1" ht="12.75" customHeight="1" x14ac:dyDescent="0.2">
      <c r="A45" s="106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5"/>
      <c r="X45" s="106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5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11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6" t="s">
        <v>95</v>
      </c>
      <c r="B27" s="116"/>
      <c r="C27" s="116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3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3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5"/>
    </row>
    <row r="3" spans="1:46" s="13" customFormat="1" ht="12.75" customHeight="1" x14ac:dyDescent="0.2">
      <c r="A3" s="103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6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5"/>
    </row>
    <row r="4" spans="1:46" s="13" customFormat="1" ht="6" customHeight="1" x14ac:dyDescent="0.2">
      <c r="A4" s="103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3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03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5"/>
    </row>
    <row r="24" spans="1:46" s="13" customFormat="1" ht="12.75" customHeight="1" x14ac:dyDescent="0.2">
      <c r="A24" s="106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06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5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5"/>
      <c r="X44" s="103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5"/>
    </row>
    <row r="45" spans="1:46" s="13" customFormat="1" ht="12.75" customHeight="1" x14ac:dyDescent="0.2">
      <c r="A45" s="106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5"/>
      <c r="X45" s="106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5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11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466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467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466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467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6" t="s">
        <v>95</v>
      </c>
      <c r="B27" s="116"/>
      <c r="C27" s="116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468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396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468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396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6" t="s">
        <v>95</v>
      </c>
      <c r="B54" s="116"/>
      <c r="C54" s="116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469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396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469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396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6" t="s">
        <v>95</v>
      </c>
      <c r="B81" s="116"/>
      <c r="C81" s="116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470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471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470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471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6" t="s">
        <v>95</v>
      </c>
      <c r="B108" s="116"/>
      <c r="C108" s="116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472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473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472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473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6" t="s">
        <v>95</v>
      </c>
      <c r="B135" s="116"/>
      <c r="C135" s="116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474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475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474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475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6" t="s">
        <v>95</v>
      </c>
      <c r="B162" s="116"/>
      <c r="C162" s="116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476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477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476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477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6" t="s">
        <v>95</v>
      </c>
      <c r="B189" s="116"/>
      <c r="C189" s="116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478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479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478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479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6" t="s">
        <v>95</v>
      </c>
      <c r="B216" s="116"/>
      <c r="C216" s="116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480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481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480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481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6" t="s">
        <v>95</v>
      </c>
      <c r="B243" s="116"/>
      <c r="C243" s="116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482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483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482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483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6" t="s">
        <v>95</v>
      </c>
      <c r="B270" s="116"/>
      <c r="C270" s="116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485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485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6" t="s">
        <v>95</v>
      </c>
      <c r="B297" s="116"/>
      <c r="C297" s="116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486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396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486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396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6" t="s">
        <v>95</v>
      </c>
      <c r="B324" s="116"/>
      <c r="C324" s="116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487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487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6" t="s">
        <v>95</v>
      </c>
      <c r="B351" s="116"/>
      <c r="C351" s="116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473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473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6" t="s">
        <v>95</v>
      </c>
      <c r="B378" s="116"/>
      <c r="C378" s="116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490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491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490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491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6" t="s">
        <v>95</v>
      </c>
      <c r="B405" s="116"/>
      <c r="C405" s="116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492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493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492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493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6" t="s">
        <v>95</v>
      </c>
      <c r="B432" s="116"/>
      <c r="C432" s="116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485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485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6" t="s">
        <v>95</v>
      </c>
      <c r="B459" s="116"/>
      <c r="C459" s="116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491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491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6" t="s">
        <v>95</v>
      </c>
      <c r="B486" s="116"/>
      <c r="C486" s="116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397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397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6" t="s">
        <v>95</v>
      </c>
      <c r="B513" s="116"/>
      <c r="C513" s="116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6" t="s">
        <v>95</v>
      </c>
      <c r="B540" s="116"/>
      <c r="C540" s="116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498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397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498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397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6" t="s">
        <v>95</v>
      </c>
      <c r="B567" s="116"/>
      <c r="C567" s="116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499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396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499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396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6" t="s">
        <v>95</v>
      </c>
      <c r="B594" s="116"/>
      <c r="C594" s="116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500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501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500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501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6" t="s">
        <v>95</v>
      </c>
      <c r="B621" s="116"/>
      <c r="C621" s="116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502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503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502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503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6" t="s">
        <v>95</v>
      </c>
      <c r="B648" s="116"/>
      <c r="C648" s="116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8" t="s">
        <v>128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58"/>
      <c r="CV1" s="158"/>
      <c r="CW1" s="158"/>
      <c r="CX1" s="158"/>
      <c r="CY1" s="158"/>
      <c r="CZ1" s="158"/>
      <c r="DA1" s="158"/>
      <c r="DB1" s="158"/>
      <c r="DC1" s="158"/>
      <c r="DD1" s="158"/>
      <c r="DE1" s="158"/>
      <c r="DF1" s="158"/>
      <c r="DG1" s="158"/>
      <c r="DH1" s="158"/>
      <c r="DI1" s="158"/>
      <c r="DJ1" s="158"/>
      <c r="DK1" s="158"/>
      <c r="DL1" s="158"/>
      <c r="DM1" s="158"/>
      <c r="DN1" s="158"/>
      <c r="DO1" s="158"/>
      <c r="DP1" s="158"/>
      <c r="DQ1" s="158"/>
      <c r="DR1" s="158"/>
      <c r="DS1" s="158"/>
      <c r="DT1" s="158"/>
      <c r="DU1" s="158"/>
      <c r="DV1" s="158"/>
      <c r="DW1" s="158"/>
      <c r="DX1" s="158"/>
      <c r="DY1" s="158"/>
      <c r="DZ1" s="158"/>
      <c r="EA1" s="158"/>
      <c r="EB1" s="158"/>
      <c r="EC1" s="158"/>
      <c r="ED1" s="158"/>
      <c r="EE1" s="158"/>
      <c r="EF1" s="158"/>
      <c r="EG1" s="158"/>
      <c r="EH1" s="158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8" t="s">
        <v>129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  <c r="BQ2" s="158"/>
      <c r="BR2" s="158"/>
      <c r="BS2" s="158"/>
      <c r="BT2" s="158"/>
      <c r="BU2" s="158"/>
      <c r="BV2" s="158"/>
      <c r="BW2" s="158"/>
      <c r="BX2" s="158"/>
      <c r="BY2" s="158"/>
      <c r="BZ2" s="158"/>
      <c r="CA2" s="158"/>
      <c r="CB2" s="158"/>
      <c r="CC2" s="158"/>
      <c r="CD2" s="158"/>
      <c r="CE2" s="158"/>
      <c r="CF2" s="158"/>
      <c r="CG2" s="158"/>
      <c r="CH2" s="158"/>
      <c r="CI2" s="158"/>
      <c r="CJ2" s="158"/>
      <c r="CK2" s="158"/>
      <c r="CL2" s="158"/>
      <c r="CM2" s="158"/>
      <c r="CN2" s="158"/>
      <c r="CO2" s="158"/>
      <c r="CP2" s="158"/>
      <c r="CQ2" s="158"/>
      <c r="CR2" s="158"/>
      <c r="CS2" s="158"/>
      <c r="CT2" s="158"/>
      <c r="CU2" s="158"/>
      <c r="CV2" s="158"/>
      <c r="CW2" s="158"/>
      <c r="CX2" s="158"/>
      <c r="CY2" s="158"/>
      <c r="CZ2" s="158"/>
      <c r="DA2" s="158"/>
      <c r="DB2" s="158"/>
      <c r="DC2" s="158"/>
      <c r="DD2" s="158"/>
      <c r="DE2" s="158"/>
      <c r="DF2" s="158"/>
      <c r="DG2" s="158"/>
      <c r="DH2" s="158"/>
      <c r="DI2" s="158"/>
      <c r="DJ2" s="158"/>
      <c r="DK2" s="158"/>
      <c r="DL2" s="158"/>
      <c r="DM2" s="158"/>
      <c r="DN2" s="158"/>
      <c r="DO2" s="158"/>
      <c r="DP2" s="158"/>
      <c r="DQ2" s="158"/>
      <c r="DR2" s="158"/>
      <c r="DS2" s="158"/>
      <c r="DT2" s="158"/>
      <c r="DU2" s="158"/>
      <c r="DV2" s="158"/>
      <c r="DW2" s="158"/>
      <c r="DX2" s="158"/>
      <c r="DY2" s="158"/>
      <c r="DZ2" s="158"/>
      <c r="EA2" s="158"/>
      <c r="EB2" s="158"/>
      <c r="EC2" s="158"/>
      <c r="ED2" s="158"/>
      <c r="EE2" s="158"/>
      <c r="EF2" s="158"/>
      <c r="EG2" s="158"/>
      <c r="EH2" s="158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37" t="s">
        <v>134</v>
      </c>
      <c r="BO5" s="46"/>
      <c r="BP5" s="52"/>
      <c r="BQ5" s="52"/>
      <c r="BR5" s="52"/>
      <c r="BZ5" s="117" t="s">
        <v>153</v>
      </c>
      <c r="CA5" s="118"/>
      <c r="CB5" s="118"/>
      <c r="CC5" s="118"/>
      <c r="CD5" s="118"/>
      <c r="CE5" s="118"/>
      <c r="CF5" s="118"/>
      <c r="CG5" s="118"/>
      <c r="CH5" s="118"/>
      <c r="CI5" s="119"/>
      <c r="CJ5" s="117" t="s">
        <v>154</v>
      </c>
      <c r="CK5" s="118"/>
      <c r="CL5" s="118"/>
      <c r="CM5" s="118"/>
      <c r="CN5" s="118"/>
      <c r="CO5" s="118"/>
      <c r="CP5" s="119"/>
      <c r="CQ5" s="117" t="s">
        <v>155</v>
      </c>
      <c r="CR5" s="118"/>
      <c r="CS5" s="118"/>
      <c r="CT5" s="118"/>
      <c r="CU5" s="118"/>
      <c r="CV5" s="118"/>
      <c r="CW5" s="118"/>
      <c r="CX5" s="118"/>
      <c r="CY5" s="119"/>
      <c r="CZ5" s="117" t="s">
        <v>156</v>
      </c>
      <c r="DA5" s="118"/>
      <c r="DB5" s="118"/>
      <c r="DC5" s="118"/>
      <c r="DD5" s="118"/>
      <c r="DE5" s="118"/>
      <c r="DF5" s="118"/>
      <c r="DG5" s="118"/>
      <c r="DH5" s="119"/>
      <c r="DI5" s="117" t="s">
        <v>157</v>
      </c>
      <c r="DJ5" s="118"/>
      <c r="DK5" s="118"/>
      <c r="DL5" s="118"/>
      <c r="DM5" s="118"/>
      <c r="DN5" s="118"/>
      <c r="DO5" s="118"/>
      <c r="DP5" s="119"/>
      <c r="DQ5" s="117" t="s">
        <v>158</v>
      </c>
      <c r="DR5" s="118"/>
      <c r="DS5" s="118"/>
      <c r="DT5" s="118"/>
      <c r="DU5" s="118"/>
      <c r="DV5" s="118"/>
      <c r="DW5" s="118"/>
      <c r="DX5" s="119"/>
      <c r="DY5" s="117" t="s">
        <v>159</v>
      </c>
      <c r="DZ5" s="118"/>
      <c r="EA5" s="118"/>
      <c r="EB5" s="118"/>
      <c r="EC5" s="118"/>
      <c r="ED5" s="118"/>
      <c r="EE5" s="118"/>
      <c r="EF5" s="118"/>
      <c r="EG5" s="118"/>
      <c r="EH5" s="119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0"/>
      <c r="CA6" s="121"/>
      <c r="CB6" s="121"/>
      <c r="CC6" s="121"/>
      <c r="CD6" s="121"/>
      <c r="CE6" s="121"/>
      <c r="CF6" s="121"/>
      <c r="CG6" s="121"/>
      <c r="CH6" s="121"/>
      <c r="CI6" s="122"/>
      <c r="CJ6" s="120"/>
      <c r="CK6" s="121"/>
      <c r="CL6" s="121"/>
      <c r="CM6" s="121"/>
      <c r="CN6" s="121"/>
      <c r="CO6" s="121"/>
      <c r="CP6" s="122"/>
      <c r="CQ6" s="120"/>
      <c r="CR6" s="121"/>
      <c r="CS6" s="121"/>
      <c r="CT6" s="121"/>
      <c r="CU6" s="121"/>
      <c r="CV6" s="121"/>
      <c r="CW6" s="121"/>
      <c r="CX6" s="121"/>
      <c r="CY6" s="122"/>
      <c r="CZ6" s="120"/>
      <c r="DA6" s="121"/>
      <c r="DB6" s="121"/>
      <c r="DC6" s="121"/>
      <c r="DD6" s="121"/>
      <c r="DE6" s="121"/>
      <c r="DF6" s="121"/>
      <c r="DG6" s="121"/>
      <c r="DH6" s="122"/>
      <c r="DI6" s="120"/>
      <c r="DJ6" s="121"/>
      <c r="DK6" s="121"/>
      <c r="DL6" s="121"/>
      <c r="DM6" s="121"/>
      <c r="DN6" s="121"/>
      <c r="DO6" s="121"/>
      <c r="DP6" s="122"/>
      <c r="DQ6" s="120"/>
      <c r="DR6" s="121"/>
      <c r="DS6" s="121"/>
      <c r="DT6" s="121"/>
      <c r="DU6" s="121"/>
      <c r="DV6" s="121"/>
      <c r="DW6" s="121"/>
      <c r="DX6" s="122"/>
      <c r="DY6" s="120"/>
      <c r="DZ6" s="121"/>
      <c r="EA6" s="121"/>
      <c r="EB6" s="121"/>
      <c r="EC6" s="121"/>
      <c r="ED6" s="121"/>
      <c r="EE6" s="121"/>
      <c r="EF6" s="121"/>
      <c r="EG6" s="121"/>
      <c r="EH6" s="122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O7" s="46"/>
      <c r="BZ7" s="120"/>
      <c r="CA7" s="121"/>
      <c r="CB7" s="121"/>
      <c r="CC7" s="121"/>
      <c r="CD7" s="121"/>
      <c r="CE7" s="121"/>
      <c r="CF7" s="121"/>
      <c r="CG7" s="121"/>
      <c r="CH7" s="121"/>
      <c r="CI7" s="122"/>
      <c r="CJ7" s="120"/>
      <c r="CK7" s="121"/>
      <c r="CL7" s="121"/>
      <c r="CM7" s="121"/>
      <c r="CN7" s="121"/>
      <c r="CO7" s="121"/>
      <c r="CP7" s="122"/>
      <c r="CQ7" s="120"/>
      <c r="CR7" s="121"/>
      <c r="CS7" s="121"/>
      <c r="CT7" s="121"/>
      <c r="CU7" s="121"/>
      <c r="CV7" s="121"/>
      <c r="CW7" s="121"/>
      <c r="CX7" s="121"/>
      <c r="CY7" s="122"/>
      <c r="CZ7" s="120"/>
      <c r="DA7" s="121"/>
      <c r="DB7" s="121"/>
      <c r="DC7" s="121"/>
      <c r="DD7" s="121"/>
      <c r="DE7" s="121"/>
      <c r="DF7" s="121"/>
      <c r="DG7" s="121"/>
      <c r="DH7" s="122"/>
      <c r="DI7" s="120"/>
      <c r="DJ7" s="121"/>
      <c r="DK7" s="121"/>
      <c r="DL7" s="121"/>
      <c r="DM7" s="121"/>
      <c r="DN7" s="121"/>
      <c r="DO7" s="121"/>
      <c r="DP7" s="122"/>
      <c r="DQ7" s="120"/>
      <c r="DR7" s="121"/>
      <c r="DS7" s="121"/>
      <c r="DT7" s="121"/>
      <c r="DU7" s="121"/>
      <c r="DV7" s="121"/>
      <c r="DW7" s="121"/>
      <c r="DX7" s="122"/>
      <c r="DY7" s="120"/>
      <c r="DZ7" s="121"/>
      <c r="EA7" s="121"/>
      <c r="EB7" s="121"/>
      <c r="EC7" s="121"/>
      <c r="ED7" s="121"/>
      <c r="EE7" s="121"/>
      <c r="EF7" s="121"/>
      <c r="EG7" s="121"/>
      <c r="EH7" s="122"/>
    </row>
    <row r="8" spans="1:167" ht="11.25" customHeight="1" x14ac:dyDescent="0.2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O8" s="46"/>
      <c r="BZ8" s="137"/>
      <c r="CA8" s="138"/>
      <c r="CB8" s="138"/>
      <c r="CC8" s="138"/>
      <c r="CD8" s="138"/>
      <c r="CE8" s="138"/>
      <c r="CF8" s="138"/>
      <c r="CG8" s="138"/>
      <c r="CH8" s="138"/>
      <c r="CI8" s="139"/>
      <c r="CJ8" s="137"/>
      <c r="CK8" s="138"/>
      <c r="CL8" s="138"/>
      <c r="CM8" s="138"/>
      <c r="CN8" s="138"/>
      <c r="CO8" s="138"/>
      <c r="CP8" s="139"/>
      <c r="CQ8" s="137"/>
      <c r="CR8" s="138"/>
      <c r="CS8" s="138"/>
      <c r="CT8" s="138"/>
      <c r="CU8" s="138"/>
      <c r="CV8" s="138"/>
      <c r="CW8" s="138"/>
      <c r="CX8" s="138"/>
      <c r="CY8" s="139"/>
      <c r="CZ8" s="137"/>
      <c r="DA8" s="138"/>
      <c r="DB8" s="138"/>
      <c r="DC8" s="138"/>
      <c r="DD8" s="138"/>
      <c r="DE8" s="138"/>
      <c r="DF8" s="138"/>
      <c r="DG8" s="138"/>
      <c r="DH8" s="139"/>
      <c r="DI8" s="137"/>
      <c r="DJ8" s="138"/>
      <c r="DK8" s="138"/>
      <c r="DL8" s="138"/>
      <c r="DM8" s="138"/>
      <c r="DN8" s="138"/>
      <c r="DO8" s="138"/>
      <c r="DP8" s="139"/>
      <c r="DQ8" s="137"/>
      <c r="DR8" s="138"/>
      <c r="DS8" s="138"/>
      <c r="DT8" s="138"/>
      <c r="DU8" s="138"/>
      <c r="DV8" s="138"/>
      <c r="DW8" s="138"/>
      <c r="DX8" s="139"/>
      <c r="DY8" s="137"/>
      <c r="DZ8" s="138"/>
      <c r="EA8" s="138"/>
      <c r="EB8" s="138"/>
      <c r="EC8" s="138"/>
      <c r="ED8" s="138"/>
      <c r="EE8" s="138"/>
      <c r="EF8" s="138"/>
      <c r="EG8" s="138"/>
      <c r="EH8" s="139"/>
    </row>
    <row r="9" spans="1:167" ht="15" customHeight="1" x14ac:dyDescent="0.2">
      <c r="A9" s="162" t="s">
        <v>143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0"/>
      <c r="S9" s="160"/>
      <c r="T9" s="160"/>
      <c r="U9" s="160"/>
      <c r="V9" s="160"/>
      <c r="W9" s="160"/>
      <c r="X9" s="160"/>
      <c r="Y9" s="160"/>
      <c r="Z9" s="37" t="s">
        <v>144</v>
      </c>
      <c r="AG9" s="162" t="s">
        <v>145</v>
      </c>
      <c r="AH9" s="162"/>
      <c r="AI9" s="162"/>
      <c r="AJ9" s="162"/>
      <c r="AK9" s="162"/>
      <c r="AL9" s="162"/>
      <c r="AM9" s="162"/>
      <c r="AN9" s="162"/>
      <c r="AO9" s="162"/>
      <c r="AP9" s="162"/>
      <c r="AQ9" s="162"/>
      <c r="AR9" s="162"/>
      <c r="AS9" s="162"/>
      <c r="AT9" s="162"/>
      <c r="AU9" s="162"/>
      <c r="AV9" s="162"/>
      <c r="AW9" s="162"/>
      <c r="AX9" s="162"/>
      <c r="AY9" s="162"/>
      <c r="AZ9" s="162"/>
      <c r="BA9" s="162"/>
      <c r="BB9" s="160"/>
      <c r="BC9" s="160"/>
      <c r="BD9" s="160"/>
      <c r="BE9" s="160"/>
      <c r="BF9" s="37" t="s">
        <v>146</v>
      </c>
      <c r="BO9" s="46"/>
      <c r="BZ9" s="126">
        <v>1</v>
      </c>
      <c r="CA9" s="127"/>
      <c r="CB9" s="127"/>
      <c r="CC9" s="127"/>
      <c r="CD9" s="127"/>
      <c r="CE9" s="127"/>
      <c r="CF9" s="127"/>
      <c r="CG9" s="127"/>
      <c r="CH9" s="127"/>
      <c r="CI9" s="128"/>
      <c r="CJ9" s="126">
        <v>2</v>
      </c>
      <c r="CK9" s="127"/>
      <c r="CL9" s="127"/>
      <c r="CM9" s="127"/>
      <c r="CN9" s="127"/>
      <c r="CO9" s="127"/>
      <c r="CP9" s="128"/>
      <c r="CQ9" s="126">
        <v>3</v>
      </c>
      <c r="CR9" s="127"/>
      <c r="CS9" s="127"/>
      <c r="CT9" s="127"/>
      <c r="CU9" s="127"/>
      <c r="CV9" s="127"/>
      <c r="CW9" s="127"/>
      <c r="CX9" s="127"/>
      <c r="CY9" s="128"/>
      <c r="CZ9" s="126">
        <v>4</v>
      </c>
      <c r="DA9" s="127"/>
      <c r="DB9" s="127"/>
      <c r="DC9" s="127"/>
      <c r="DD9" s="127"/>
      <c r="DE9" s="127"/>
      <c r="DF9" s="127"/>
      <c r="DG9" s="127"/>
      <c r="DH9" s="128"/>
      <c r="DI9" s="126">
        <v>5</v>
      </c>
      <c r="DJ9" s="127"/>
      <c r="DK9" s="127"/>
      <c r="DL9" s="127"/>
      <c r="DM9" s="127"/>
      <c r="DN9" s="127"/>
      <c r="DO9" s="127"/>
      <c r="DP9" s="128"/>
      <c r="DQ9" s="126">
        <v>6</v>
      </c>
      <c r="DR9" s="127"/>
      <c r="DS9" s="127"/>
      <c r="DT9" s="127"/>
      <c r="DU9" s="127"/>
      <c r="DV9" s="127"/>
      <c r="DW9" s="127"/>
      <c r="DX9" s="128"/>
      <c r="DY9" s="126">
        <v>7</v>
      </c>
      <c r="DZ9" s="127"/>
      <c r="EA9" s="127"/>
      <c r="EB9" s="127"/>
      <c r="EC9" s="127"/>
      <c r="ED9" s="127"/>
      <c r="EE9" s="127"/>
      <c r="EF9" s="127"/>
      <c r="EG9" s="127"/>
      <c r="EH9" s="128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9" t="s">
        <v>160</v>
      </c>
      <c r="CA10" s="130"/>
      <c r="CB10" s="130"/>
      <c r="CC10" s="130"/>
      <c r="CD10" s="130"/>
      <c r="CE10" s="130"/>
      <c r="CF10" s="130"/>
      <c r="CG10" s="130"/>
      <c r="CH10" s="130"/>
      <c r="CI10" s="131"/>
      <c r="CJ10" s="132" t="s">
        <v>161</v>
      </c>
      <c r="CK10" s="133"/>
      <c r="CL10" s="133"/>
      <c r="CM10" s="133"/>
      <c r="CN10" s="133"/>
      <c r="CO10" s="133"/>
      <c r="CP10" s="134"/>
      <c r="CQ10" s="123"/>
      <c r="CR10" s="124"/>
      <c r="CS10" s="124"/>
      <c r="CT10" s="124"/>
      <c r="CU10" s="124"/>
      <c r="CV10" s="124"/>
      <c r="CW10" s="124"/>
      <c r="CX10" s="124"/>
      <c r="CY10" s="125"/>
      <c r="CZ10" s="123"/>
      <c r="DA10" s="124"/>
      <c r="DB10" s="124"/>
      <c r="DC10" s="124"/>
      <c r="DD10" s="124"/>
      <c r="DE10" s="124"/>
      <c r="DF10" s="124"/>
      <c r="DG10" s="124"/>
      <c r="DH10" s="125"/>
      <c r="DI10" s="123"/>
      <c r="DJ10" s="124"/>
      <c r="DK10" s="124"/>
      <c r="DL10" s="124"/>
      <c r="DM10" s="124"/>
      <c r="DN10" s="124"/>
      <c r="DO10" s="124"/>
      <c r="DP10" s="125"/>
      <c r="DQ10" s="123"/>
      <c r="DR10" s="124"/>
      <c r="DS10" s="124"/>
      <c r="DT10" s="124"/>
      <c r="DU10" s="124"/>
      <c r="DV10" s="124"/>
      <c r="DW10" s="124"/>
      <c r="DX10" s="125"/>
      <c r="DY10" s="123"/>
      <c r="DZ10" s="124"/>
      <c r="EA10" s="124"/>
      <c r="EB10" s="124"/>
      <c r="EC10" s="124"/>
      <c r="ED10" s="124"/>
      <c r="EE10" s="124"/>
      <c r="EF10" s="124"/>
      <c r="EG10" s="124"/>
      <c r="EH10" s="125"/>
    </row>
    <row r="11" spans="1:167" ht="18.75" customHeight="1" x14ac:dyDescent="0.2"/>
    <row r="12" spans="1:167" ht="21.75" customHeight="1" x14ac:dyDescent="0.2">
      <c r="C12" s="159" t="s">
        <v>162</v>
      </c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O13" s="117" t="s">
        <v>135</v>
      </c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9"/>
      <c r="BF13" s="117" t="s">
        <v>136</v>
      </c>
      <c r="BG13" s="118"/>
      <c r="BH13" s="118"/>
      <c r="BI13" s="118"/>
      <c r="BJ13" s="118"/>
      <c r="BK13" s="118"/>
      <c r="BL13" s="118"/>
      <c r="BM13" s="118"/>
      <c r="BN13" s="118"/>
      <c r="BO13" s="118"/>
      <c r="BP13" s="118"/>
      <c r="BQ13" s="118"/>
      <c r="BR13" s="118"/>
      <c r="BS13" s="118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9"/>
      <c r="CF13" s="117" t="s">
        <v>137</v>
      </c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18"/>
      <c r="CT13" s="118"/>
      <c r="CU13" s="118"/>
      <c r="CV13" s="118"/>
      <c r="CW13" s="118"/>
      <c r="CX13" s="118"/>
      <c r="CY13" s="119"/>
      <c r="CZ13" s="117" t="s">
        <v>138</v>
      </c>
      <c r="DA13" s="118"/>
      <c r="DB13" s="118"/>
      <c r="DC13" s="118"/>
      <c r="DD13" s="118"/>
      <c r="DE13" s="118"/>
      <c r="DF13" s="118"/>
      <c r="DG13" s="118"/>
      <c r="DH13" s="118"/>
      <c r="DI13" s="118"/>
      <c r="DJ13" s="118"/>
      <c r="DK13" s="118"/>
      <c r="DL13" s="118"/>
      <c r="DM13" s="118"/>
      <c r="DN13" s="118"/>
      <c r="DO13" s="118"/>
      <c r="DP13" s="118"/>
      <c r="DQ13" s="119"/>
      <c r="DR13" s="117" t="s">
        <v>139</v>
      </c>
      <c r="DS13" s="118"/>
      <c r="DT13" s="118"/>
      <c r="DU13" s="118"/>
      <c r="DV13" s="118"/>
      <c r="DW13" s="118"/>
      <c r="DX13" s="118"/>
      <c r="DY13" s="118"/>
      <c r="DZ13" s="118"/>
      <c r="EA13" s="118"/>
      <c r="EB13" s="118"/>
      <c r="EC13" s="118"/>
      <c r="ED13" s="118"/>
      <c r="EE13" s="118"/>
      <c r="EF13" s="118"/>
      <c r="EG13" s="118"/>
      <c r="EH13" s="119"/>
    </row>
    <row r="14" spans="1:167" ht="12" customHeight="1" x14ac:dyDescent="0.2">
      <c r="A14" s="44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O14" s="120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2"/>
      <c r="BF14" s="120"/>
      <c r="BG14" s="121"/>
      <c r="BH14" s="121"/>
      <c r="BI14" s="121"/>
      <c r="BJ14" s="121"/>
      <c r="BK14" s="121"/>
      <c r="BL14" s="121"/>
      <c r="BM14" s="121"/>
      <c r="BN14" s="121"/>
      <c r="BO14" s="121"/>
      <c r="BP14" s="121"/>
      <c r="BQ14" s="121"/>
      <c r="BR14" s="121"/>
      <c r="BS14" s="121"/>
      <c r="BT14" s="121"/>
      <c r="BU14" s="121"/>
      <c r="BV14" s="121"/>
      <c r="BW14" s="121"/>
      <c r="BX14" s="121"/>
      <c r="BY14" s="121"/>
      <c r="BZ14" s="121"/>
      <c r="CA14" s="121"/>
      <c r="CB14" s="121"/>
      <c r="CC14" s="121"/>
      <c r="CD14" s="121"/>
      <c r="CE14" s="122"/>
      <c r="CF14" s="120"/>
      <c r="CG14" s="121"/>
      <c r="CH14" s="121"/>
      <c r="CI14" s="121"/>
      <c r="CJ14" s="121"/>
      <c r="CK14" s="121"/>
      <c r="CL14" s="121"/>
      <c r="CM14" s="121"/>
      <c r="CN14" s="121"/>
      <c r="CO14" s="121"/>
      <c r="CP14" s="121"/>
      <c r="CQ14" s="121"/>
      <c r="CR14" s="121"/>
      <c r="CS14" s="121"/>
      <c r="CT14" s="121"/>
      <c r="CU14" s="121"/>
      <c r="CV14" s="121"/>
      <c r="CW14" s="121"/>
      <c r="CX14" s="121"/>
      <c r="CY14" s="122"/>
      <c r="CZ14" s="120"/>
      <c r="DA14" s="121"/>
      <c r="DB14" s="121"/>
      <c r="DC14" s="121"/>
      <c r="DD14" s="121"/>
      <c r="DE14" s="121"/>
      <c r="DF14" s="121"/>
      <c r="DG14" s="121"/>
      <c r="DH14" s="121"/>
      <c r="DI14" s="121"/>
      <c r="DJ14" s="121"/>
      <c r="DK14" s="121"/>
      <c r="DL14" s="121"/>
      <c r="DM14" s="121"/>
      <c r="DN14" s="121"/>
      <c r="DO14" s="121"/>
      <c r="DP14" s="121"/>
      <c r="DQ14" s="122"/>
      <c r="DR14" s="120"/>
      <c r="DS14" s="121"/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1"/>
      <c r="EG14" s="121"/>
      <c r="EH14" s="122"/>
    </row>
    <row r="15" spans="1:167" ht="18" customHeight="1" x14ac:dyDescent="0.2">
      <c r="A15" s="44"/>
      <c r="C15" s="159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O15" s="120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2"/>
      <c r="BF15" s="120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2"/>
      <c r="CF15" s="120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CX15" s="121"/>
      <c r="CY15" s="122"/>
      <c r="CZ15" s="120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2"/>
      <c r="DR15" s="120"/>
      <c r="DS15" s="121"/>
      <c r="DT15" s="121"/>
      <c r="DU15" s="121"/>
      <c r="DV15" s="121"/>
      <c r="DW15" s="121"/>
      <c r="DX15" s="121"/>
      <c r="DY15" s="121"/>
      <c r="DZ15" s="121"/>
      <c r="EA15" s="121"/>
      <c r="EB15" s="121"/>
      <c r="EC15" s="121"/>
      <c r="ED15" s="121"/>
      <c r="EE15" s="121"/>
      <c r="EF15" s="121"/>
      <c r="EG15" s="121"/>
      <c r="EH15" s="122"/>
    </row>
    <row r="16" spans="1:167" ht="15" customHeight="1" x14ac:dyDescent="0.2">
      <c r="C16" s="159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O16" s="141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3"/>
      <c r="BF16" s="154"/>
      <c r="BG16" s="155"/>
      <c r="BH16" s="155"/>
      <c r="BI16" s="155"/>
      <c r="BJ16" s="155"/>
      <c r="BK16" s="155"/>
      <c r="BL16" s="155"/>
      <c r="BM16" s="155"/>
      <c r="BN16" s="155"/>
      <c r="BO16" s="155"/>
      <c r="BP16" s="155"/>
      <c r="BQ16" s="155"/>
      <c r="BR16" s="155"/>
      <c r="BS16" s="155"/>
      <c r="BT16" s="155"/>
      <c r="BU16" s="155"/>
      <c r="BV16" s="155"/>
      <c r="BW16" s="155"/>
      <c r="BX16" s="155"/>
      <c r="BY16" s="155"/>
      <c r="BZ16" s="155"/>
      <c r="CA16" s="155"/>
      <c r="CB16" s="155"/>
      <c r="CC16" s="155"/>
      <c r="CD16" s="155"/>
      <c r="CE16" s="156"/>
      <c r="CF16" s="147"/>
      <c r="CG16" s="135"/>
      <c r="CH16" s="135"/>
      <c r="CI16" s="135"/>
      <c r="CJ16" s="135"/>
      <c r="CK16" s="135"/>
      <c r="CL16" s="135"/>
      <c r="CM16" s="135"/>
      <c r="CN16" s="135"/>
      <c r="CO16" s="135"/>
      <c r="CP16" s="135"/>
      <c r="CQ16" s="135"/>
      <c r="CR16" s="135"/>
      <c r="CS16" s="135"/>
      <c r="CT16" s="135"/>
      <c r="CU16" s="135"/>
      <c r="CV16" s="135"/>
      <c r="CW16" s="135"/>
      <c r="CX16" s="135"/>
      <c r="CY16" s="148"/>
      <c r="CZ16" s="141"/>
      <c r="DA16" s="142"/>
      <c r="DB16" s="142"/>
      <c r="DC16" s="142"/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DN16" s="142"/>
      <c r="DO16" s="142"/>
      <c r="DP16" s="142"/>
      <c r="DQ16" s="143"/>
      <c r="DR16" s="150"/>
      <c r="DS16" s="151"/>
      <c r="DT16" s="151"/>
      <c r="DU16" s="151"/>
      <c r="DV16" s="151"/>
      <c r="DW16" s="151"/>
      <c r="DX16" s="151"/>
      <c r="DY16" s="151"/>
      <c r="DZ16" s="151"/>
      <c r="EA16" s="151"/>
      <c r="EB16" s="151"/>
      <c r="EC16" s="151"/>
      <c r="ED16" s="151"/>
      <c r="EE16" s="151"/>
      <c r="EF16" s="151"/>
      <c r="EG16" s="151"/>
      <c r="EH16" s="152"/>
    </row>
    <row r="17" spans="3:138" ht="11.1" customHeight="1" x14ac:dyDescent="0.2"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3" t="s">
        <v>142</v>
      </c>
      <c r="BA17" s="153"/>
      <c r="BB17" s="153"/>
      <c r="BC17" s="153"/>
      <c r="BD17" s="153"/>
      <c r="BE17" s="153"/>
      <c r="BF17" s="153"/>
      <c r="BG17" s="153"/>
      <c r="BH17" s="153"/>
      <c r="BI17" s="153"/>
      <c r="BJ17" s="153"/>
      <c r="BK17" s="153"/>
      <c r="BL17" s="153"/>
      <c r="BM17" s="153"/>
      <c r="BN17" s="153"/>
      <c r="BO17" s="153"/>
      <c r="BP17" s="153"/>
      <c r="BQ17" s="153"/>
      <c r="BR17" s="153"/>
      <c r="BS17" s="153"/>
      <c r="BT17" s="153"/>
      <c r="BU17" s="153"/>
      <c r="BV17" s="153"/>
      <c r="BW17" s="153"/>
      <c r="BX17" s="153"/>
      <c r="BY17" s="153"/>
      <c r="BZ17" s="153"/>
      <c r="CA17" s="153"/>
      <c r="CB17" s="153"/>
      <c r="CC17" s="153"/>
      <c r="CD17" s="153"/>
      <c r="CE17" s="149"/>
      <c r="CF17" s="149"/>
      <c r="CG17" s="149"/>
      <c r="CH17" s="149"/>
      <c r="CI17" s="149"/>
      <c r="CJ17" s="149"/>
      <c r="CK17" s="149"/>
      <c r="CL17" s="149"/>
      <c r="CM17" s="149"/>
      <c r="CN17" s="149"/>
      <c r="CO17" s="149"/>
      <c r="CP17" s="149"/>
      <c r="CQ17" s="149"/>
      <c r="CR17" s="149"/>
      <c r="CS17" s="149"/>
      <c r="CT17" s="149"/>
      <c r="CU17" s="149"/>
      <c r="CV17" s="149"/>
      <c r="CW17" s="149"/>
      <c r="CX17" s="149"/>
      <c r="CY17" s="149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O19" s="44"/>
      <c r="AZ19" s="157" t="s">
        <v>147</v>
      </c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157"/>
      <c r="BP19" s="157"/>
      <c r="BQ19" s="157"/>
      <c r="BR19" s="157"/>
      <c r="BS19" s="157"/>
      <c r="BT19" s="157"/>
      <c r="BU19" s="157"/>
      <c r="BV19" s="157"/>
      <c r="BW19" s="157"/>
      <c r="BX19" s="157"/>
      <c r="BY19" s="157"/>
      <c r="BZ19" s="157"/>
      <c r="CA19" s="157"/>
      <c r="CB19" s="157"/>
      <c r="CC19" s="145"/>
      <c r="CD19" s="145"/>
      <c r="CE19" s="145"/>
      <c r="CF19" s="145"/>
      <c r="CG19" s="145"/>
      <c r="CH19" s="145"/>
      <c r="CI19" s="145"/>
      <c r="CJ19" s="145"/>
      <c r="CK19" s="145"/>
      <c r="CL19" s="145"/>
      <c r="CM19" s="145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EF19" s="36"/>
      <c r="EG19" s="36"/>
      <c r="EH19" s="42"/>
    </row>
    <row r="20" spans="3:138" ht="11.1" customHeight="1" x14ac:dyDescent="0.2"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40" t="s">
        <v>149</v>
      </c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DA22" s="43" t="s">
        <v>150</v>
      </c>
      <c r="DO22" s="144"/>
      <c r="DP22" s="144"/>
      <c r="DQ22" s="144"/>
      <c r="DR22" s="144"/>
      <c r="DS22" s="144"/>
      <c r="DT22" s="144"/>
      <c r="DU22" s="144"/>
      <c r="DV22" s="144"/>
      <c r="DW22" s="144"/>
      <c r="DX22" s="144"/>
      <c r="DY22" s="144"/>
      <c r="DZ22" s="144"/>
      <c r="EA22" s="144"/>
      <c r="EB22" s="144"/>
      <c r="EC22" s="144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2023-02-22T08:42:44Z</cp:lastPrinted>
  <dcterms:created xsi:type="dcterms:W3CDTF">2012-02-27T08:19:11Z</dcterms:created>
  <dcterms:modified xsi:type="dcterms:W3CDTF">2023-04-04T12:31:51Z</dcterms:modified>
</cp:coreProperties>
</file>