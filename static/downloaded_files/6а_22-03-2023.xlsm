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2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36" i="282" l="1"/>
  <c r="C627" i="282"/>
  <c r="C640" i="282" s="1"/>
  <c r="C625" i="282"/>
  <c r="C638" i="282" s="1"/>
  <c r="C623" i="282"/>
  <c r="C613" i="282"/>
  <c r="C611" i="282"/>
  <c r="C600" i="282"/>
  <c r="C598" i="282"/>
  <c r="C596" i="282"/>
  <c r="C609" i="282" s="1"/>
  <c r="C582" i="282"/>
  <c r="C573" i="282"/>
  <c r="C586" i="282" s="1"/>
  <c r="C571" i="282"/>
  <c r="C584" i="282" s="1"/>
  <c r="C569" i="282"/>
  <c r="C559" i="282"/>
  <c r="C557" i="282"/>
  <c r="C546" i="282"/>
  <c r="C544" i="282"/>
  <c r="C542" i="282"/>
  <c r="C555" i="282" s="1"/>
  <c r="C528" i="282"/>
  <c r="C519" i="282"/>
  <c r="C532" i="282" s="1"/>
  <c r="C517" i="282"/>
  <c r="C530" i="282" s="1"/>
  <c r="C515" i="282"/>
  <c r="C505" i="282"/>
  <c r="C503" i="282"/>
  <c r="C492" i="282"/>
  <c r="C490" i="282"/>
  <c r="C488" i="282"/>
  <c r="C501" i="282" s="1"/>
  <c r="C474" i="282"/>
  <c r="C465" i="282"/>
  <c r="C478" i="282" s="1"/>
  <c r="C463" i="282"/>
  <c r="C476" i="282" s="1"/>
  <c r="C461" i="282"/>
  <c r="C451" i="282"/>
  <c r="C449" i="282"/>
  <c r="C438" i="282"/>
  <c r="C436" i="282"/>
  <c r="C434" i="282"/>
  <c r="C447" i="282" s="1"/>
  <c r="C420" i="282"/>
  <c r="C411" i="282"/>
  <c r="C424" i="282" s="1"/>
  <c r="C409" i="282"/>
  <c r="C422" i="282" s="1"/>
  <c r="C407" i="282"/>
  <c r="C397" i="282"/>
  <c r="C395" i="282"/>
  <c r="C384" i="282"/>
  <c r="C382" i="282"/>
  <c r="C380" i="282"/>
  <c r="C393" i="282" s="1"/>
  <c r="C366" i="282"/>
  <c r="C357" i="282"/>
  <c r="C370" i="282" s="1"/>
  <c r="C355" i="282"/>
  <c r="C368" i="282" s="1"/>
  <c r="C353" i="282"/>
  <c r="C343" i="282"/>
  <c r="C341" i="282"/>
  <c r="C330" i="282"/>
  <c r="C328" i="282"/>
  <c r="C326" i="282"/>
  <c r="C339" i="282" s="1"/>
  <c r="C312" i="282"/>
  <c r="C303" i="282"/>
  <c r="C316" i="282" s="1"/>
  <c r="C301" i="282"/>
  <c r="C314" i="282" s="1"/>
  <c r="C299" i="282"/>
  <c r="C289" i="282"/>
  <c r="C287" i="282"/>
  <c r="C276" i="282"/>
  <c r="C274" i="282"/>
  <c r="C272" i="282"/>
  <c r="C285" i="282" s="1"/>
  <c r="C258" i="282"/>
  <c r="C249" i="282"/>
  <c r="C262" i="282" s="1"/>
  <c r="C247" i="282"/>
  <c r="C260" i="282" s="1"/>
  <c r="C245" i="282"/>
  <c r="C235" i="282"/>
  <c r="C233" i="282"/>
  <c r="C222" i="282"/>
  <c r="C220" i="282"/>
  <c r="C218" i="282"/>
  <c r="C231" i="282" s="1"/>
  <c r="C204" i="282"/>
  <c r="C195" i="282"/>
  <c r="C208" i="282" s="1"/>
  <c r="C193" i="282"/>
  <c r="C206" i="282" s="1"/>
  <c r="C191" i="282"/>
  <c r="C181" i="282"/>
  <c r="C179" i="282"/>
  <c r="C168" i="282"/>
  <c r="C166" i="282"/>
  <c r="C164" i="282"/>
  <c r="C177" i="282" s="1"/>
  <c r="C150" i="282"/>
  <c r="C141" i="282"/>
  <c r="C154" i="282" s="1"/>
  <c r="C139" i="282"/>
  <c r="C152" i="282" s="1"/>
  <c r="C137" i="282"/>
  <c r="C127" i="282"/>
  <c r="C125" i="282"/>
  <c r="C114" i="282"/>
  <c r="C112" i="282"/>
  <c r="C110" i="282"/>
  <c r="C123" i="282" s="1"/>
  <c r="C96" i="282"/>
  <c r="C87" i="282"/>
  <c r="C100" i="282" s="1"/>
  <c r="C85" i="282"/>
  <c r="C98" i="282" s="1"/>
  <c r="C83" i="282"/>
  <c r="C73" i="282"/>
  <c r="C71" i="282"/>
  <c r="C60" i="282"/>
  <c r="C58" i="282"/>
  <c r="C56" i="282"/>
  <c r="C69" i="282" s="1"/>
  <c r="C42" i="282"/>
  <c r="C33" i="282"/>
  <c r="C46" i="282" s="1"/>
  <c r="C31" i="282"/>
  <c r="C44" i="282" s="1"/>
  <c r="C29" i="282"/>
  <c r="C19" i="282"/>
  <c r="C17" i="282"/>
  <c r="C6" i="282"/>
  <c r="C4" i="282"/>
  <c r="C2" i="282"/>
  <c r="C15" i="282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<sst xmlns="http://schemas.openxmlformats.org/spreadsheetml/2006/main" count="2579" uniqueCount="487">
  <si>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</si>
  <si>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</si>
  <si>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</si>
  <si>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</si>
  <si>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</si>
  <si>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</si>
  <si>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</si>
  <si>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</si>
  <si>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</si>
  <si>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</si>
  <si>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</si>
  <si>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</si>
  <si>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</si>
  <si>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</si>
  <si>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</si>
  <si>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</si>
  <si>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</si>
  <si>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</si>
  <si>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</si>
  <si>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</si>
  <si>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</si>
  <si>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</si>
  <si>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</si>
  <si>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</si>
  <si>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</si>
  <si>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</si>
  <si>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</si>
  <si>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</si>
  <si>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</si>
  <si>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</si>
  <si>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</si>
  <si>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</si>
  <si>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</si>
  <si>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</si>
  <si>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</si>
  <si>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</si>
  <si>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</si>
  <si>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</si>
  <si>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</si>
  <si>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</si>
  <si>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</si>
  <si>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</si>
  <si>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</si>
  <si>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</si>
  <si>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</si>
  <si>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</si>
  <si>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</si>
  <si>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</si>
  <si>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</si>
  <si>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</si>
  <si>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</si>
  <si>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</si>
  <si>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</si>
  <si>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</si>
  <si>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</si>
  <si>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</si>
  <si>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</si>
  <si>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</si>
  <si>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</si>
  <si>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</si>
  <si>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</si>
  <si>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</si>
  <si>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</si>
  <si>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</si>
  <si>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</si>
  <si>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</si>
  <si>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</si>
  <si>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</si>
  <si>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</si>
  <si>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</si>
  <si>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</si>
  <si>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</si>
  <si>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</si>
  <si>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</si>
  <si>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</si>
  <si>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</si>
  <si>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</si>
  <si>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</si>
  <si>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</si>
  <si>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</si>
  <si>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</si>
  <si>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</si>
  <si>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</si>
  <si>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</si>
  <si>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</si>
  <si>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</si>
  <si>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</si>
  <si>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</si>
  <si>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</si>
  <si>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</si>
  <si>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</si>
  <si>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</si>
  <si>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</si>
  <si>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</si>
  <si>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</si>
  <si>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</si>
  <si>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</si>
  <si>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</si>
  <si>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</si>
  <si>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</si>
  <si>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</si>
  <si>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</si>
  <si>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</si>
  <si>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</si>
  <si>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</si>
  <si>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</si>
  <si>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</si>
  <si>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</si>
  <si>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</si>
  <si>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</si>
  <si>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</si>
  <si>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</si>
  <si>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</si>
  <si>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</si>
  <si>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</si>
  <si>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</si>
  <si>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</si>
  <si>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</si>
  <si>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</si>
  <si>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</si>
  <si>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</si>
  <si>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</si>
  <si>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</si>
  <si>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</si>
  <si>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</si>
  <si>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</si>
  <si>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</si>
  <si>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</si>
  <si>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</si>
  <si>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</si>
  <si>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</si>
  <si>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</si>
  <si>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</si>
  <si>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</si>
  <si>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</si>
  <si>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</si>
  <si>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</si>
  <si>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</si>
  <si>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</si>
  <si>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</si>
  <si>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</si>
  <si>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</si>
  <si>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</si>
  <si>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</si>
  <si>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</si>
  <si>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</si>
  <si>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</si>
  <si>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</si>
  <si>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</si>
  <si>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</si>
  <si>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</si>
  <si>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</si>
  <si>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</si>
  <si>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</si>
  <si>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</si>
  <si>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</si>
  <si>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</si>
  <si>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</si>
  <si>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</si>
  <si>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</si>
  <si>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</si>
  <si>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</si>
  <si>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</si>
  <si>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</si>
  <si>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</si>
  <si>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</si>
  <si>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</si>
  <si>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</si>
  <si>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</si>
  <si>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</si>
  <si>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</si>
  <si>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</si>
  <si>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</si>
  <si>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</si>
  <si>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</si>
  <si>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</si>
  <si>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</si>
  <si>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</si>
  <si>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</si>
  <si>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</si>
  <si>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</si>
  <si>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</si>
  <si>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</si>
  <si>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</si>
  <si>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</si>
  <si>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</si>
  <si>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</si>
  <si>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</si>
  <si>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</si>
  <si>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</si>
  <si>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</si>
  <si>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</si>
  <si>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</si>
  <si>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</si>
  <si>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</si>
  <si>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</si>
  <si>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</si>
  <si>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</si>
  <si>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</si>
  <si>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</si>
  <si>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</si>
  <si>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</si>
  <si>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</si>
  <si>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</si>
  <si>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</si>
  <si>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</si>
  <si>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</si>
  <si>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</si>
  <si>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</si>
  <si>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</si>
  <si>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</si>
  <si>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</si>
  <si>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</si>
  <si>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</si>
  <si>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</si>
  <si>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</si>
  <si>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</si>
  <si>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</si>
  <si>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</si>
  <si>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</si>
  <si>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</si>
  <si>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</si>
  <si>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</si>
  <si>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</si>
  <si>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</si>
  <si>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</si>
  <si>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</si>
  <si>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</si>
  <si>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</si>
  <si>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</si>
  <si>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</si>
  <si>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</si>
  <si>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</si>
  <si>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</si>
  <si>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</si>
  <si>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</si>
  <si>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</si>
  <si>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</si>
  <si>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</si>
  <si>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</si>
  <si>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</si>
  <si>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</si>
  <si>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</si>
  <si>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</si>
  <si>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</si>
  <si>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</si>
  <si>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</si>
  <si>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</si>
  <si>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</si>
  <si>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</si>
  <si>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</si>
  <si>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</si>
  <si>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</si>
  <si>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</si>
  <si>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</si>
  <si>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</si>
  <si>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</si>
  <si>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</si>
  <si>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</si>
  <si>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</si>
  <si>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</si>
  <si>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</si>
  <si>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</si>
  <si>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</si>
  <si>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</si>
  <si>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</si>
  <si>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</si>
  <si>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</si>
  <si>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</si>
  <si>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</si>
  <si>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</si>
  <si>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</si>
  <si>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</si>
  <si>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</si>
  <si>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</si>
  <si>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</si>
  <si>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</si>
  <si>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</si>
  <si>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</si>
  <si>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</si>
  <si>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</si>
  <si>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</si>
  <si>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</si>
  <si>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</si>
  <si>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</si>
  <si>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</si>
  <si>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</si>
  <si>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</si>
  <si>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</si>
  <si>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</si>
  <si>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</si>
  <si>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</si>
  <si>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</si>
  <si>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</si>
  <si>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</si>
  <si>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</si>
  <si>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</si>
  <si>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</si>
  <si>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</si>
  <si>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</si>
  <si>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</si>
  <si>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</si>
  <si>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</si>
  <si>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</si>
  <si>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</si>
  <si>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</si>
  <si>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</si>
  <si>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</si>
  <si>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</si>
  <si>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</si>
  <si>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</si>
  <si>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</si>
  <si>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</si>
  <si>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</si>
  <si>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</si>
  <si>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</si>
  <si>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</si>
  <si>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</si>
  <si>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</si>
  <si>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</si>
  <si>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</si>
  <si>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</si>
  <si>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</si>
  <si>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</si>
  <si>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</si>
  <si>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</si>
  <si>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</si>
  <si>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</si>
  <si>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</si>
  <si>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</si>
  <si>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</si>
  <si>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</si>
  <si>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</si>
  <si>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</si>
  <si>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</si>
  <si>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</si>
  <si>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</si>
  <si>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</si>
  <si>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</si>
  <si>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</si>
  <si>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</si>
  <si>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</si>
  <si>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</si>
  <si>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</si>
  <si>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</si>
  <si>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</si>
  <si>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</si>
  <si>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</si>
  <si>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</si>
  <si>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</si>
  <si>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</si>
  <si>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</si>
  <si>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</si>
  <si>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</si>
  <si>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</si>
  <si>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</si>
  <si>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</si>
  <si>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</si>
  <si>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</si>
  <si>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</si>
  <si>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</si>
  <si>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</si>
  <si>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</si>
  <si>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</si>
  <si>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</si>
  <si>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</si>
  <si>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</si>
  <si>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</si>
  <si>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</si>
  <si>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</si>
  <si>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</si>
  <si>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</si>
  <si>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</si>
  <si>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</si>
  <si>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</si>
  <si>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</si>
  <si>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</si>
  <si>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</si>
  <si>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</si>
  <si>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</si>
  <si>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</si>
  <si>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</si>
  <si>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</si>
  <si>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</si>
  <si>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</si>
  <si>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</si>
  <si>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</si>
  <si>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</si>
  <si>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</si>
  <si>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</si>
  <si>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</si>
  <si>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</si>
  <si>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</si>
  <si>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</si>
  <si>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</si>
  <si>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</si>
  <si>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</si>
  <si>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</si>
  <si>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</si>
  <si>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CATEGORY=5</t>
  </si>
  <si>
    <t>000602</t>
  </si>
  <si>
    <t xml:space="preserve">Васянин Павел Алексеевич                          </t>
  </si>
  <si>
    <t xml:space="preserve">6а род              </t>
  </si>
  <si>
    <t>000603</t>
  </si>
  <si>
    <t xml:space="preserve">Габдукаев Булат Искандерович                      </t>
  </si>
  <si>
    <t>000604</t>
  </si>
  <si>
    <t xml:space="preserve">Галеев Артур Ринатович                            </t>
  </si>
  <si>
    <t>000605</t>
  </si>
  <si>
    <t xml:space="preserve">Галеев Карим Камилевич                            </t>
  </si>
  <si>
    <t>000607</t>
  </si>
  <si>
    <t xml:space="preserve">Галиев Самат Ришатович                            </t>
  </si>
  <si>
    <t>000608</t>
  </si>
  <si>
    <t xml:space="preserve">Гатауллин Тимур Ильнурович                        </t>
  </si>
  <si>
    <t>000609</t>
  </si>
  <si>
    <t xml:space="preserve">Идрисов Чингиз Зуфарович                          </t>
  </si>
  <si>
    <t>000610</t>
  </si>
  <si>
    <t xml:space="preserve">Камалетдинов Тимур Дамирович                      </t>
  </si>
  <si>
    <t>000611</t>
  </si>
  <si>
    <t xml:space="preserve">Кулькачев Рустам Русланович                       </t>
  </si>
  <si>
    <t>000612</t>
  </si>
  <si>
    <t xml:space="preserve">Лукманов Камиль Ильдарович                        </t>
  </si>
  <si>
    <t>000614</t>
  </si>
  <si>
    <t xml:space="preserve">Минлебаев Тимур Маратович                         </t>
  </si>
  <si>
    <t>000613</t>
  </si>
  <si>
    <t xml:space="preserve">Минневалеев Амир Рамилевич                        </t>
  </si>
  <si>
    <t>000615</t>
  </si>
  <si>
    <t xml:space="preserve">Митягин Ярослав Никитич                           </t>
  </si>
  <si>
    <t>000616</t>
  </si>
  <si>
    <t xml:space="preserve">Мустафин Артур Робертович                         </t>
  </si>
  <si>
    <t>000619</t>
  </si>
  <si>
    <t xml:space="preserve">Сайфутдинов Расул Рамилевич                       </t>
  </si>
  <si>
    <t>000620</t>
  </si>
  <si>
    <t xml:space="preserve">Фазылянов Юсуф Русланович                         </t>
  </si>
  <si>
    <t>000621</t>
  </si>
  <si>
    <t xml:space="preserve">Хадиев Аяз Камилевич                              </t>
  </si>
  <si>
    <t>000622</t>
  </si>
  <si>
    <t xml:space="preserve">Ханов Ильхан Айнурович                            </t>
  </si>
  <si>
    <t>000623</t>
  </si>
  <si>
    <t xml:space="preserve">Хусаинов Амир Ильнурович                          </t>
  </si>
  <si>
    <t>000624</t>
  </si>
  <si>
    <t xml:space="preserve">Шарафутдинов Карим Харонович                      </t>
  </si>
  <si>
    <t>000625</t>
  </si>
  <si>
    <t xml:space="preserve">Шарафутдинов Шамиль Линарович                     </t>
  </si>
  <si>
    <t>000626</t>
  </si>
  <si>
    <t xml:space="preserve">Яхин Амин Эльдарович                              </t>
  </si>
  <si>
    <t>000618</t>
  </si>
  <si>
    <t xml:space="preserve">Нуруллин Салават Раифович                         </t>
  </si>
  <si>
    <t>000617</t>
  </si>
  <si>
    <t xml:space="preserve">Мутыгуллин Данил Ленарович                        </t>
  </si>
  <si>
    <t>ЛС: 000602; ФИО обучающегося: Васянин Павел Алексеевич                          ; Назначение: 6а род февр; КБК: 82100000000000003131; ОКТМО: 92701000</t>
  </si>
  <si>
    <t>Сумма: 2540 руб. 00 коп.</t>
  </si>
  <si>
    <t>ЛС: 000603; ФИО обучающегося: Габдукаев Булат Искандерович                      ; Назначение: 6а род февр; КБК: 82100000000000003131; ОКТМО: 92701000</t>
  </si>
  <si>
    <t>Сумма: 7061 руб. 45 коп.</t>
  </si>
  <si>
    <t>ЛС: 000604; ФИО обучающегося: Галеев Артур Ринатович                            ; Назначение: 6а род февр; КБК: 82100000000000003131; ОКТМО: 92701000</t>
  </si>
  <si>
    <t>ЛС: 000605; ФИО обучающегося: Галеев Карим Камилевич                            ; Назначение: 6а род февр; КБК: 82100000000000003131; ОКТМО: 92701000</t>
  </si>
  <si>
    <t>Сумма: 7317 руб. 54 коп.</t>
  </si>
  <si>
    <t>ЛС: 000607; ФИО обучающегося: Галиев Самат Ришатович                            ; Назначение: 6а род февр; КБК: 82100000000000003131; ОКТМО: 92701000</t>
  </si>
  <si>
    <t>ЛС: 000608; ФИО обучающегося: Гатауллин Тимур Ильнурович                        ; Назначение: 6а род февр; КБК: 82100000000000003131; ОКТМО: 92701000</t>
  </si>
  <si>
    <t>Сумма: 2424 руб. 42 коп.</t>
  </si>
  <si>
    <t>ЛС: 000609; ФИО обучающегося: Идрисов Чингиз Зуфарович                          ; Назначение: 6а род февр; КБК: 82100000000000003131; ОКТМО: 92701000</t>
  </si>
  <si>
    <t>Сумма: 2539 руб. 66 коп.</t>
  </si>
  <si>
    <t>ЛС: 000610; ФИО обучающегося: Камалетдинов Тимур Дамирович                      ; Назначение: 6а род февр; КБК: 82100000000000003131; ОКТМО: 92701000</t>
  </si>
  <si>
    <t>ЛС: 000611; ФИО обучающегося: Кулькачев Рустам Русланович                       ; Назначение: 6а род февр; КБК: 82100000000000003131; ОКТМО: 92701000</t>
  </si>
  <si>
    <t>ЛС: 000612; ФИО обучающегося: Лукманов Камиль Ильдарович                        ; Назначение: 6а род февр; КБК: 82100000000000003131; ОКТМО: 92701000</t>
  </si>
  <si>
    <t>Сумма: 2447 руб. 54 коп.</t>
  </si>
  <si>
    <t>ЛС: 000614; ФИО обучающегося: Минлебаев Тимур Маратович                         ; Назначение: 6а род февр; КБК: 82100000000000003131; ОКТМО: 92701000</t>
  </si>
  <si>
    <t>Сумма: 12783 руб. 02 коп.</t>
  </si>
  <si>
    <t>ЛС: 000613; ФИО обучающегося: Минневалеев Амир Рамилевич                        ; Назначение: 6а род февр; КБК: 82100000000000003131; ОКТМО: 92701000</t>
  </si>
  <si>
    <t>ЛС: 000615; ФИО обучающегося: Митягин Ярослав Никитич                           ; Назначение: 6а род февр; КБК: 82100000000000003131; ОКТМО: 92701000</t>
  </si>
  <si>
    <t>ЛС: 000616; ФИО обучающегося: Мустафин Артур Робертович                         ; Назначение: 6а род февр; КБК: 82100000000000003131; ОКТМО: 92701000</t>
  </si>
  <si>
    <t>ЛС: 000617; ФИО обучающегося: Мутыгуллин Данил Ленарович                        ; Назначение: 6а род февр; КБК: 82100000000000003131; ОКТМО: 92701000</t>
  </si>
  <si>
    <t>Сумма: 998 руб. 83 коп.</t>
  </si>
  <si>
    <t>ЛС: 000618; ФИО обучающегося: Нуруллин Салават Раифович                         ; Назначение: 6а род февр; КБК: 82100000000000003131; ОКТМО: 92701000</t>
  </si>
  <si>
    <t>Сумма: 4795 руб. 49 коп.</t>
  </si>
  <si>
    <t>ЛС: 000619; ФИО обучающегося: Сайфутдинов Расул Рамилевич                       ; Назначение: 6а род февр; КБК: 82100000000000003131; ОКТМО: 92701000</t>
  </si>
  <si>
    <t>ЛС: 000620; ФИО обучающегося: Фазылянов Юсуф Русланович                         ; Назначение: 6а род февр; КБК: 82100000000000003131; ОКТМО: 92701000</t>
  </si>
  <si>
    <t>ЛС: 000621; ФИО обучающегося: Хадиев Аяз Камилевич                              ; Назначение: 6а род февр; КБК: 82100000000000003131; ОКТМО: 92701000</t>
  </si>
  <si>
    <t>ЛС: 000622; ФИО обучающегося: Ханов Ильхан Айнурович                            ; Назначение: 6а род февр; КБК: 82100000000000003131; ОКТМО: 92701000</t>
  </si>
  <si>
    <t>Сумма: 6699 руб. 68 коп.</t>
  </si>
  <si>
    <t>ЛС: 000623; ФИО обучающегося: Хусаинов Амир Ильнурович                          ; Назначение: 6а род февр; КБК: 82100000000000003131; ОКТМО: 92701000</t>
  </si>
  <si>
    <t>ЛС: 000624; ФИО обучающегося: Шарафутдинов Карим Харонович                      ; Назначение: 6а род февр; КБК: 82100000000000003131; ОКТМО: 92701000</t>
  </si>
  <si>
    <t>Сумма: 9294 руб. 74 коп.</t>
  </si>
  <si>
    <t>ЛС: 000625; ФИО обучающегося: Шарафутдинов Шамиль Линарович                     ; Назначение: 6а род февр; КБК: 82100000000000003131; ОКТМО: 92701000</t>
  </si>
  <si>
    <t>Сумма: 9390 руб. 69 коп.</t>
  </si>
  <si>
    <t>ЛС: 000626; ФИО обучающегося: Яхин Амин Эльдарович                              ; Назначение: 6а род февр; КБК: 82100000000000003131; ОКТМО: 92701000</t>
  </si>
  <si>
    <t>март</t>
  </si>
  <si>
    <t>6а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</si>
</sst>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0" fillId="0" borderId="19" xfId="0" quotePrefix="1" applyBorder="1" applyAlignment="1">
      <alignment horizontal="center"/>
    </xf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1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7" fillId="0" borderId="20" xfId="2" applyFont="1" applyBorder="1" applyAlignment="1">
      <alignment horizontal="left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font>
        <color indexed="8"/>
      </font>
      <numFmt numFmtId="30" formatCode="@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21" totalsRowDxfId="19" headerRowBorderDxfId="22" tableBorderDxfId="20">
  <autoFilter ref="A6:H30"/>
  <tableColumns count="8">
    <tableColumn id="1" name="Лицевой счет" totalsRowLabel="Итог" dataDxfId="18" dataCellStyle="Обычный 2"/>
    <tableColumn id="2" name="ФИО обучающегося" dataDxfId="17" totalsRowDxfId="16" dataCellStyle="Обычный 2"/>
    <tableColumn id="3" name="Назначение" dataDxfId="15" totalsRowDxfId="14" dataCellStyle="Обычный 2"/>
    <tableColumn id="4" name="КБК" dataDxfId="13" dataCellStyle="Обычный 2"/>
    <tableColumn id="5" name="ОКТМО" dataDxfId="12" totalsRowDxfId="11" dataCellStyle="Обычный 2"/>
    <tableColumn id="6" name="ФИО" dataDxfId="10" totalsRowDxfId="9" dataCellStyle="Обычный 2"/>
    <tableColumn id="7" name="Служeбнoе поле" dataDxfId="8" totalsRowDxfId="7" dataCellStyle="Обычный 2"/>
    <tableColumn id="8" name="Сумма" dataDxfId="6" totalsRowDxfId="5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4"/>
    <tableColumn id="2" name="Значение" dataDxf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2" dataDxfId="1">
  <autoFilter ref="Z1:Z4"/>
  <tableColumns count="1">
    <tableColumn id="1" name="Код кодировки" dataDxfId="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400</v>
      </c>
      <c r="B2" s="92" t="s">
        <v>401</v>
      </c>
      <c r="C2" s="92" t="s">
        <v>402</v>
      </c>
      <c r="D2" s="92" t="s">
        <v>485</v>
      </c>
      <c r="E2" s="93">
        <v>2309.0700000000002</v>
      </c>
      <c r="F2" s="98" t="str">
        <f>TRIM(A2)</f>
        <v>000602</v>
      </c>
      <c r="G2" s="31" t="str">
        <f t="shared" ref="G2:G46" si="0">B2</f>
        <v xml:space="preserve">Васянин Павел Алексеевич                          </v>
      </c>
      <c r="H2" s="31" t="str">
        <f>CONCATENATE(TRIM(C2)," ",D2)</f>
        <v>6а род март</v>
      </c>
      <c r="I2" s="94" t="s">
        <v>387</v>
      </c>
      <c r="J2" s="31">
        <v>92701000</v>
      </c>
      <c r="M2" s="31">
        <f t="shared" ref="M2:M63" si="1">E2</f>
        <v>2309.0700000000002</v>
      </c>
    </row>
    <row r="3" spans="1:13" x14ac:dyDescent="0.25">
      <c r="A3" s="92" t="s">
        <v>403</v>
      </c>
      <c r="B3" s="92" t="s">
        <v>404</v>
      </c>
      <c r="C3" s="92" t="s">
        <v>402</v>
      </c>
      <c r="D3" s="92" t="s">
        <v>485</v>
      </c>
      <c r="E3" s="93">
        <v>2309.0700000000002</v>
      </c>
      <c r="F3" s="98" t="str">
        <f t="shared" ref="F3:F66" si="2">TRIM(A3)</f>
        <v>000603</v>
      </c>
      <c r="G3" s="31" t="str">
        <f t="shared" si="0"/>
        <v xml:space="preserve">Габдукаев Булат Искандерович                      </v>
      </c>
      <c r="H3" s="31" t="str">
        <f t="shared" ref="H3:H66" si="3">CONCATENATE(TRIM(C3)," ",D3)</f>
        <v>6а род март</v>
      </c>
      <c r="I3" s="94" t="s">
        <v>387</v>
      </c>
      <c r="J3" s="31">
        <v>92701000</v>
      </c>
      <c r="M3" s="31">
        <f t="shared" si="1"/>
        <v>2309.0700000000002</v>
      </c>
    </row>
    <row r="4" spans="1:13" x14ac:dyDescent="0.25">
      <c r="A4" s="92" t="s">
        <v>405</v>
      </c>
      <c r="B4" s="92" t="s">
        <v>406</v>
      </c>
      <c r="C4" s="92" t="s">
        <v>402</v>
      </c>
      <c r="D4" s="92" t="s">
        <v>485</v>
      </c>
      <c r="E4" s="93">
        <v>2309.0700000000002</v>
      </c>
      <c r="F4" s="98" t="str">
        <f t="shared" si="2"/>
        <v>000604</v>
      </c>
      <c r="G4" s="31" t="str">
        <f t="shared" si="0"/>
        <v xml:space="preserve">Галеев Артур Ринатович                            </v>
      </c>
      <c r="H4" s="31" t="str">
        <f t="shared" si="3"/>
        <v>6а род март</v>
      </c>
      <c r="I4" s="94" t="s">
        <v>387</v>
      </c>
      <c r="J4" s="31">
        <v>92701000</v>
      </c>
      <c r="M4" s="31">
        <f t="shared" si="1"/>
        <v>2309.0700000000002</v>
      </c>
    </row>
    <row r="5" spans="1:13" x14ac:dyDescent="0.25">
      <c r="A5" s="92" t="s">
        <v>407</v>
      </c>
      <c r="B5" s="92" t="s">
        <v>408</v>
      </c>
      <c r="C5" s="92" t="s">
        <v>402</v>
      </c>
      <c r="D5" s="92" t="s">
        <v>485</v>
      </c>
      <c r="E5" s="93">
        <v>2309.0700000000002</v>
      </c>
      <c r="F5" s="98" t="str">
        <f t="shared" si="2"/>
        <v>000605</v>
      </c>
      <c r="G5" s="31" t="str">
        <f t="shared" si="0"/>
        <v xml:space="preserve">Галеев Карим Камилевич                            </v>
      </c>
      <c r="H5" s="31" t="str">
        <f t="shared" si="3"/>
        <v>6а род март</v>
      </c>
      <c r="I5" s="94" t="s">
        <v>387</v>
      </c>
      <c r="J5" s="31">
        <v>92701000</v>
      </c>
      <c r="M5" s="31">
        <f t="shared" si="1"/>
        <v>2309.0700000000002</v>
      </c>
    </row>
    <row r="6" spans="1:13" x14ac:dyDescent="0.25">
      <c r="A6" s="92" t="s">
        <v>409</v>
      </c>
      <c r="B6" s="92" t="s">
        <v>410</v>
      </c>
      <c r="C6" s="92" t="s">
        <v>402</v>
      </c>
      <c r="D6" s="92" t="s">
        <v>485</v>
      </c>
      <c r="E6" s="93">
        <v>2309.0700000000002</v>
      </c>
      <c r="F6" s="98" t="str">
        <f t="shared" si="2"/>
        <v>000607</v>
      </c>
      <c r="G6" s="31" t="str">
        <f t="shared" si="0"/>
        <v xml:space="preserve">Галиев Самат Ришатович                            </v>
      </c>
      <c r="H6" s="31" t="str">
        <f t="shared" si="3"/>
        <v>6а род март</v>
      </c>
      <c r="I6" s="94" t="s">
        <v>387</v>
      </c>
      <c r="J6" s="31">
        <v>92701000</v>
      </c>
      <c r="M6" s="31">
        <f t="shared" si="1"/>
        <v>2309.0700000000002</v>
      </c>
    </row>
    <row r="7" spans="1:13" x14ac:dyDescent="0.25">
      <c r="A7" s="92" t="s">
        <v>411</v>
      </c>
      <c r="B7" s="92" t="s">
        <v>412</v>
      </c>
      <c r="C7" s="92" t="s">
        <v>402</v>
      </c>
      <c r="D7" s="92" t="s">
        <v>485</v>
      </c>
      <c r="E7" s="93">
        <v>2309.0700000000002</v>
      </c>
      <c r="F7" s="98" t="str">
        <f t="shared" si="2"/>
        <v>000608</v>
      </c>
      <c r="G7" s="31" t="str">
        <f t="shared" si="0"/>
        <v xml:space="preserve">Гатауллин Тимур Ильнурович                        </v>
      </c>
      <c r="H7" s="31" t="str">
        <f t="shared" si="3"/>
        <v>6а род март</v>
      </c>
      <c r="I7" s="94" t="s">
        <v>387</v>
      </c>
      <c r="J7" s="31">
        <v>92701000</v>
      </c>
      <c r="M7" s="31">
        <f t="shared" si="1"/>
        <v>2309.0700000000002</v>
      </c>
    </row>
    <row r="8" spans="1:13" x14ac:dyDescent="0.25">
      <c r="A8" s="92" t="s">
        <v>413</v>
      </c>
      <c r="B8" s="92" t="s">
        <v>414</v>
      </c>
      <c r="C8" s="92" t="s">
        <v>402</v>
      </c>
      <c r="D8" s="92" t="s">
        <v>485</v>
      </c>
      <c r="E8" s="93">
        <v>2548.73</v>
      </c>
      <c r="F8" s="98" t="str">
        <f t="shared" si="2"/>
        <v>000609</v>
      </c>
      <c r="G8" s="31" t="str">
        <f t="shared" si="0"/>
        <v xml:space="preserve">Идрисов Чингиз Зуфарович                          </v>
      </c>
      <c r="H8" s="31" t="str">
        <f t="shared" si="3"/>
        <v>6а род март</v>
      </c>
      <c r="I8" s="94" t="s">
        <v>387</v>
      </c>
      <c r="J8" s="31">
        <v>92701000</v>
      </c>
      <c r="M8" s="31">
        <f t="shared" si="1"/>
        <v>2548.73</v>
      </c>
    </row>
    <row r="9" spans="1:13" x14ac:dyDescent="0.25">
      <c r="A9" s="92" t="s">
        <v>415</v>
      </c>
      <c r="B9" s="92" t="s">
        <v>416</v>
      </c>
      <c r="C9" s="92" t="s">
        <v>402</v>
      </c>
      <c r="D9" s="92" t="s">
        <v>485</v>
      </c>
      <c r="E9" s="93">
        <v>2183.86</v>
      </c>
      <c r="F9" s="98" t="str">
        <f t="shared" si="2"/>
        <v>000610</v>
      </c>
      <c r="G9" s="31" t="str">
        <f t="shared" si="0"/>
        <v xml:space="preserve">Камалетдинов Тимур Дамирович                      </v>
      </c>
      <c r="H9" s="31" t="str">
        <f t="shared" si="3"/>
        <v>6а род март</v>
      </c>
      <c r="I9" s="94" t="s">
        <v>387</v>
      </c>
      <c r="J9" s="31">
        <v>92701000</v>
      </c>
      <c r="M9" s="31">
        <f t="shared" si="1"/>
        <v>2183.86</v>
      </c>
    </row>
    <row r="10" spans="1:13" x14ac:dyDescent="0.25">
      <c r="A10" s="92" t="s">
        <v>417</v>
      </c>
      <c r="B10" s="92" t="s">
        <v>418</v>
      </c>
      <c r="C10" s="92" t="s">
        <v>402</v>
      </c>
      <c r="D10" s="92" t="s">
        <v>485</v>
      </c>
      <c r="E10" s="93">
        <v>2309.0700000000002</v>
      </c>
      <c r="F10" s="98" t="str">
        <f t="shared" si="2"/>
        <v>000611</v>
      </c>
      <c r="G10" s="31" t="str">
        <f t="shared" si="0"/>
        <v xml:space="preserve">Кулькачев Рустам Русланович                       </v>
      </c>
      <c r="H10" s="31" t="str">
        <f t="shared" si="3"/>
        <v>6а род март</v>
      </c>
      <c r="I10" s="94" t="s">
        <v>387</v>
      </c>
      <c r="J10" s="31">
        <v>92701000</v>
      </c>
      <c r="M10" s="31">
        <f t="shared" si="1"/>
        <v>2309.0700000000002</v>
      </c>
    </row>
    <row r="11" spans="1:13" x14ac:dyDescent="0.25">
      <c r="A11" s="92" t="s">
        <v>419</v>
      </c>
      <c r="B11" s="92" t="s">
        <v>420</v>
      </c>
      <c r="C11" s="92" t="s">
        <v>402</v>
      </c>
      <c r="D11" s="92" t="s">
        <v>485</v>
      </c>
      <c r="E11" s="93">
        <v>2309.0700000000002</v>
      </c>
      <c r="F11" s="98" t="str">
        <f t="shared" si="2"/>
        <v>000612</v>
      </c>
      <c r="G11" s="31" t="str">
        <f t="shared" si="0"/>
        <v xml:space="preserve">Лукманов Камиль Ильдарович                        </v>
      </c>
      <c r="H11" s="31" t="str">
        <f t="shared" si="3"/>
        <v>6а род март</v>
      </c>
      <c r="I11" s="94" t="s">
        <v>387</v>
      </c>
      <c r="J11" s="31">
        <v>92701000</v>
      </c>
      <c r="M11" s="31">
        <f t="shared" si="1"/>
        <v>2309.0700000000002</v>
      </c>
    </row>
    <row r="12" spans="1:13" x14ac:dyDescent="0.25">
      <c r="A12" s="92" t="s">
        <v>421</v>
      </c>
      <c r="B12" s="92" t="s">
        <v>422</v>
      </c>
      <c r="C12" s="92" t="s">
        <v>402</v>
      </c>
      <c r="D12" s="92" t="s">
        <v>485</v>
      </c>
      <c r="E12" s="93">
        <v>846.94</v>
      </c>
      <c r="F12" s="98" t="str">
        <f t="shared" si="2"/>
        <v>000614</v>
      </c>
      <c r="G12" s="31" t="str">
        <f t="shared" si="0"/>
        <v xml:space="preserve">Минлебаев Тимур Маратович                         </v>
      </c>
      <c r="H12" s="31" t="str">
        <f t="shared" si="3"/>
        <v>6а род март</v>
      </c>
      <c r="I12" s="94" t="s">
        <v>387</v>
      </c>
      <c r="J12" s="31">
        <v>92701000</v>
      </c>
      <c r="M12" s="31">
        <f t="shared" si="1"/>
        <v>846.94</v>
      </c>
    </row>
    <row r="13" spans="1:13" x14ac:dyDescent="0.25">
      <c r="A13" s="92" t="s">
        <v>423</v>
      </c>
      <c r="B13" s="92" t="s">
        <v>424</v>
      </c>
      <c r="C13" s="92" t="s">
        <v>402</v>
      </c>
      <c r="D13" s="92" t="s">
        <v>485</v>
      </c>
      <c r="E13" s="93">
        <v>2309.0700000000002</v>
      </c>
      <c r="F13" s="98" t="str">
        <f t="shared" si="2"/>
        <v>000613</v>
      </c>
      <c r="G13" s="31" t="str">
        <f t="shared" si="0"/>
        <v xml:space="preserve">Минневалеев Амир Рамилевич                        </v>
      </c>
      <c r="H13" s="31" t="str">
        <f t="shared" si="3"/>
        <v>6а род март</v>
      </c>
      <c r="I13" s="94" t="s">
        <v>387</v>
      </c>
      <c r="J13" s="31">
        <v>92701000</v>
      </c>
      <c r="M13" s="31">
        <f t="shared" si="1"/>
        <v>2309.0700000000002</v>
      </c>
    </row>
    <row r="14" spans="1:13" x14ac:dyDescent="0.25">
      <c r="A14" s="92" t="s">
        <v>425</v>
      </c>
      <c r="B14" s="92" t="s">
        <v>426</v>
      </c>
      <c r="C14" s="92" t="s">
        <v>402</v>
      </c>
      <c r="D14" s="92" t="s">
        <v>485</v>
      </c>
      <c r="E14" s="93">
        <v>2309.0700000000002</v>
      </c>
      <c r="F14" s="98" t="str">
        <f t="shared" si="2"/>
        <v>000615</v>
      </c>
      <c r="G14" s="31" t="str">
        <f t="shared" si="0"/>
        <v xml:space="preserve">Митягин Ярослав Никитич                           </v>
      </c>
      <c r="H14" s="31" t="str">
        <f t="shared" si="3"/>
        <v>6а род март</v>
      </c>
      <c r="I14" s="94" t="s">
        <v>387</v>
      </c>
      <c r="J14" s="31">
        <v>92701000</v>
      </c>
      <c r="M14" s="31">
        <f t="shared" si="1"/>
        <v>2309.0700000000002</v>
      </c>
    </row>
    <row r="15" spans="1:13" x14ac:dyDescent="0.25">
      <c r="A15" s="92" t="s">
        <v>427</v>
      </c>
      <c r="B15" s="92" t="s">
        <v>428</v>
      </c>
      <c r="C15" s="92" t="s">
        <v>402</v>
      </c>
      <c r="D15" s="92" t="s">
        <v>485</v>
      </c>
      <c r="E15" s="93">
        <v>2183.86</v>
      </c>
      <c r="F15" s="98" t="str">
        <f t="shared" si="2"/>
        <v>000616</v>
      </c>
      <c r="G15" s="31" t="str">
        <f t="shared" si="0"/>
        <v xml:space="preserve">Мустафин Артур Робертович                         </v>
      </c>
      <c r="H15" s="31" t="str">
        <f t="shared" si="3"/>
        <v>6а род март</v>
      </c>
      <c r="I15" s="94" t="s">
        <v>387</v>
      </c>
      <c r="J15" s="31">
        <v>92701000</v>
      </c>
      <c r="M15" s="31">
        <f t="shared" si="1"/>
        <v>2183.86</v>
      </c>
    </row>
    <row r="16" spans="1:13" x14ac:dyDescent="0.25">
      <c r="A16" s="92" t="s">
        <v>447</v>
      </c>
      <c r="B16" s="92" t="s">
        <v>448</v>
      </c>
      <c r="C16" s="92" t="s">
        <v>402</v>
      </c>
      <c r="D16" s="92" t="s">
        <v>485</v>
      </c>
      <c r="E16" s="93">
        <v>2309.0700000000002</v>
      </c>
      <c r="F16" s="98" t="str">
        <f t="shared" si="2"/>
        <v>000617</v>
      </c>
      <c r="G16" s="31" t="str">
        <f t="shared" si="0"/>
        <v xml:space="preserve">Мутыгуллин Данил Ленарович                        </v>
      </c>
      <c r="H16" s="31" t="str">
        <f t="shared" si="3"/>
        <v>6а род март</v>
      </c>
      <c r="I16" s="94" t="s">
        <v>387</v>
      </c>
      <c r="J16" s="31">
        <v>92701000</v>
      </c>
      <c r="M16" s="31">
        <f t="shared" si="1"/>
        <v>2309.0700000000002</v>
      </c>
    </row>
    <row r="17" spans="1:13" x14ac:dyDescent="0.25">
      <c r="A17" s="92" t="s">
        <v>445</v>
      </c>
      <c r="B17" s="92" t="s">
        <v>446</v>
      </c>
      <c r="C17" s="92" t="s">
        <v>402</v>
      </c>
      <c r="D17" s="92" t="s">
        <v>485</v>
      </c>
      <c r="E17" s="93">
        <v>2112.04</v>
      </c>
      <c r="F17" s="98" t="str">
        <f t="shared" si="2"/>
        <v>000618</v>
      </c>
      <c r="G17" s="31" t="str">
        <f t="shared" si="0"/>
        <v xml:space="preserve">Нуруллин Салават Раифович                         </v>
      </c>
      <c r="H17" s="31" t="str">
        <f t="shared" si="3"/>
        <v>6а род март</v>
      </c>
      <c r="I17" s="94" t="s">
        <v>387</v>
      </c>
      <c r="J17" s="31">
        <v>92701000</v>
      </c>
      <c r="M17" s="31">
        <f t="shared" si="1"/>
        <v>2112.04</v>
      </c>
    </row>
    <row r="18" spans="1:13" x14ac:dyDescent="0.25">
      <c r="A18" s="92" t="s">
        <v>429</v>
      </c>
      <c r="B18" s="92" t="s">
        <v>430</v>
      </c>
      <c r="C18" s="92" t="s">
        <v>402</v>
      </c>
      <c r="D18" s="92" t="s">
        <v>485</v>
      </c>
      <c r="E18" s="93">
        <v>2309.0700000000002</v>
      </c>
      <c r="F18" s="98" t="str">
        <f t="shared" si="2"/>
        <v>000619</v>
      </c>
      <c r="G18" s="31" t="str">
        <f t="shared" si="0"/>
        <v xml:space="preserve">Сайфутдинов Расул Рамилевич                       </v>
      </c>
      <c r="H18" s="31" t="str">
        <f t="shared" si="3"/>
        <v>6а род март</v>
      </c>
      <c r="I18" s="94" t="s">
        <v>387</v>
      </c>
      <c r="J18" s="31">
        <v>92701000</v>
      </c>
      <c r="M18" s="31">
        <f t="shared" si="1"/>
        <v>2309.0700000000002</v>
      </c>
    </row>
    <row r="19" spans="1:13" x14ac:dyDescent="0.25">
      <c r="A19" s="92" t="s">
        <v>431</v>
      </c>
      <c r="B19" s="92" t="s">
        <v>432</v>
      </c>
      <c r="C19" s="92" t="s">
        <v>402</v>
      </c>
      <c r="D19" s="92" t="s">
        <v>485</v>
      </c>
      <c r="E19" s="93">
        <v>2309.0700000000002</v>
      </c>
      <c r="F19" s="98" t="str">
        <f t="shared" si="2"/>
        <v>000620</v>
      </c>
      <c r="G19" s="31" t="str">
        <f t="shared" si="0"/>
        <v xml:space="preserve">Фазылянов Юсуф Русланович                         </v>
      </c>
      <c r="H19" s="31" t="str">
        <f t="shared" si="3"/>
        <v>6а род март</v>
      </c>
      <c r="I19" s="94" t="s">
        <v>387</v>
      </c>
      <c r="J19" s="31">
        <v>92701000</v>
      </c>
      <c r="M19" s="31">
        <f t="shared" si="1"/>
        <v>2309.0700000000002</v>
      </c>
    </row>
    <row r="20" spans="1:13" x14ac:dyDescent="0.25">
      <c r="A20" s="92" t="s">
        <v>433</v>
      </c>
      <c r="B20" s="92" t="s">
        <v>434</v>
      </c>
      <c r="C20" s="92" t="s">
        <v>402</v>
      </c>
      <c r="D20" s="92" t="s">
        <v>485</v>
      </c>
      <c r="E20" s="93">
        <v>2169.83</v>
      </c>
      <c r="F20" s="98" t="str">
        <f t="shared" si="2"/>
        <v>000621</v>
      </c>
      <c r="G20" s="31" t="str">
        <f t="shared" si="0"/>
        <v xml:space="preserve">Хадиев Аяз Камилевич                              </v>
      </c>
      <c r="H20" s="31" t="str">
        <f t="shared" si="3"/>
        <v>6а род март</v>
      </c>
      <c r="I20" s="94" t="s">
        <v>387</v>
      </c>
      <c r="J20" s="31">
        <v>92701000</v>
      </c>
      <c r="M20" s="31">
        <f t="shared" si="1"/>
        <v>2169.83</v>
      </c>
    </row>
    <row r="21" spans="1:13" x14ac:dyDescent="0.25">
      <c r="A21" s="92" t="s">
        <v>435</v>
      </c>
      <c r="B21" s="92" t="s">
        <v>436</v>
      </c>
      <c r="C21" s="92" t="s">
        <v>402</v>
      </c>
      <c r="D21" s="92" t="s">
        <v>485</v>
      </c>
      <c r="E21" s="93">
        <v>2309.0700000000002</v>
      </c>
      <c r="F21" s="98" t="str">
        <f t="shared" si="2"/>
        <v>000622</v>
      </c>
      <c r="G21" s="31" t="str">
        <f t="shared" si="0"/>
        <v xml:space="preserve">Ханов Ильхан Айнурович                            </v>
      </c>
      <c r="H21" s="31" t="str">
        <f t="shared" si="3"/>
        <v>6а род март</v>
      </c>
      <c r="I21" s="94" t="s">
        <v>387</v>
      </c>
      <c r="J21" s="31">
        <v>92701000</v>
      </c>
      <c r="M21" s="31">
        <f t="shared" si="1"/>
        <v>2309.0700000000002</v>
      </c>
    </row>
    <row r="22" spans="1:13" x14ac:dyDescent="0.25">
      <c r="A22" s="92" t="s">
        <v>437</v>
      </c>
      <c r="B22" s="92" t="s">
        <v>438</v>
      </c>
      <c r="C22" s="92" t="s">
        <v>402</v>
      </c>
      <c r="D22" s="92" t="s">
        <v>485</v>
      </c>
      <c r="E22" s="93">
        <v>2309.0700000000002</v>
      </c>
      <c r="F22" s="98" t="str">
        <f t="shared" si="2"/>
        <v>000623</v>
      </c>
      <c r="G22" s="31" t="str">
        <f t="shared" si="0"/>
        <v xml:space="preserve">Хусаинов Амир Ильнурович                          </v>
      </c>
      <c r="H22" s="31" t="str">
        <f t="shared" si="3"/>
        <v>6а род март</v>
      </c>
      <c r="I22" s="94" t="s">
        <v>387</v>
      </c>
      <c r="J22" s="31">
        <v>92701000</v>
      </c>
      <c r="M22" s="31">
        <f t="shared" si="1"/>
        <v>2309.0700000000002</v>
      </c>
    </row>
    <row r="23" spans="1:13" x14ac:dyDescent="0.25">
      <c r="A23" s="92" t="s">
        <v>439</v>
      </c>
      <c r="B23" s="92" t="s">
        <v>440</v>
      </c>
      <c r="C23" s="92" t="s">
        <v>402</v>
      </c>
      <c r="D23" s="92" t="s">
        <v>485</v>
      </c>
      <c r="E23" s="93">
        <v>2309.81</v>
      </c>
      <c r="F23" s="98" t="str">
        <f t="shared" si="2"/>
        <v>000624</v>
      </c>
      <c r="G23" s="31" t="str">
        <f t="shared" si="0"/>
        <v xml:space="preserve">Шарафутдинов Карим Харонович                      </v>
      </c>
      <c r="H23" s="31" t="str">
        <f t="shared" si="3"/>
        <v>6а род март</v>
      </c>
      <c r="I23" s="94" t="s">
        <v>387</v>
      </c>
      <c r="J23" s="31">
        <v>92701000</v>
      </c>
      <c r="M23" s="31">
        <f t="shared" si="1"/>
        <v>2309.81</v>
      </c>
    </row>
    <row r="24" spans="1:13" x14ac:dyDescent="0.25">
      <c r="A24" s="92" t="s">
        <v>441</v>
      </c>
      <c r="B24" s="92" t="s">
        <v>442</v>
      </c>
      <c r="C24" s="92" t="s">
        <v>402</v>
      </c>
      <c r="D24" s="92" t="s">
        <v>485</v>
      </c>
      <c r="E24" s="93">
        <v>2309.0700000000002</v>
      </c>
      <c r="F24" s="98" t="str">
        <f t="shared" si="2"/>
        <v>000625</v>
      </c>
      <c r="G24" s="31" t="str">
        <f t="shared" si="0"/>
        <v xml:space="preserve">Шарафутдинов Шамиль Линарович                     </v>
      </c>
      <c r="H24" s="31" t="str">
        <f t="shared" si="3"/>
        <v>6а род март</v>
      </c>
      <c r="I24" s="94" t="s">
        <v>387</v>
      </c>
      <c r="J24" s="31">
        <v>92701000</v>
      </c>
      <c r="M24" s="31">
        <f t="shared" si="1"/>
        <v>2309.0700000000002</v>
      </c>
    </row>
    <row r="25" spans="1:13" x14ac:dyDescent="0.25">
      <c r="A25" s="92" t="s">
        <v>443</v>
      </c>
      <c r="B25" s="92" t="s">
        <v>444</v>
      </c>
      <c r="C25" s="92" t="s">
        <v>402</v>
      </c>
      <c r="D25" s="92" t="s">
        <v>485</v>
      </c>
      <c r="E25" s="93">
        <v>4849.07</v>
      </c>
      <c r="F25" s="98" t="str">
        <f t="shared" si="2"/>
        <v>000626</v>
      </c>
      <c r="G25" s="31" t="str">
        <f t="shared" si="0"/>
        <v xml:space="preserve">Яхин Амин Эльдарович                              </v>
      </c>
      <c r="H25" s="31" t="str">
        <f t="shared" si="3"/>
        <v>6а род март</v>
      </c>
      <c r="I25" s="94" t="s">
        <v>387</v>
      </c>
      <c r="J25" s="31">
        <v>92701000</v>
      </c>
      <c r="M25" s="31">
        <f t="shared" si="1"/>
        <v>4849.07</v>
      </c>
    </row>
    <row r="26" spans="1:13" x14ac:dyDescent="0.25">
      <c r="A26" s="92" t="s">
        <v>397</v>
      </c>
      <c r="B26" s="92" t="s">
        <v>398</v>
      </c>
      <c r="C26" s="92" t="s">
        <v>396</v>
      </c>
      <c r="D26" s="92" t="s">
        <v>395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387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13" activePane="bottomLeft" state="frozen"/>
      <selection activeCell="A2" sqref="A2"/>
      <selection pane="bottomLeft" activeCell="J15" sqref="J15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56149.26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400</v>
      </c>
      <c r="B7" s="84" t="s">
        <v>401</v>
      </c>
      <c r="C7" s="84" t="s">
        <v>486</v>
      </c>
      <c r="D7" s="84" t="s">
        <v>387</v>
      </c>
      <c r="E7" s="87">
        <v>92701000</v>
      </c>
      <c r="F7" s="84"/>
      <c r="G7" s="84"/>
      <c r="H7" s="86">
        <v>2309.0700000000002</v>
      </c>
    </row>
    <row r="8" spans="1:8" x14ac:dyDescent="0.25">
      <c r="A8" s="95" t="s">
        <v>403</v>
      </c>
      <c r="B8" s="95" t="s">
        <v>404</v>
      </c>
      <c r="C8" s="95" t="s">
        <v>486</v>
      </c>
      <c r="D8" s="95" t="s">
        <v>387</v>
      </c>
      <c r="E8" s="95">
        <v>92701000</v>
      </c>
      <c r="F8" s="95"/>
      <c r="G8" s="95"/>
      <c r="H8" s="96">
        <v>2309.0700000000002</v>
      </c>
    </row>
    <row r="9" spans="1:8" x14ac:dyDescent="0.25">
      <c r="A9" s="95" t="s">
        <v>405</v>
      </c>
      <c r="B9" s="95" t="s">
        <v>406</v>
      </c>
      <c r="C9" s="95" t="s">
        <v>486</v>
      </c>
      <c r="D9" s="95" t="s">
        <v>387</v>
      </c>
      <c r="E9" s="95">
        <v>92701000</v>
      </c>
      <c r="F9" s="95"/>
      <c r="G9" s="95"/>
      <c r="H9" s="96">
        <v>2309.0700000000002</v>
      </c>
    </row>
    <row r="10" spans="1:8" x14ac:dyDescent="0.25">
      <c r="A10" s="95" t="s">
        <v>407</v>
      </c>
      <c r="B10" s="95" t="s">
        <v>408</v>
      </c>
      <c r="C10" s="95" t="s">
        <v>486</v>
      </c>
      <c r="D10" s="95" t="s">
        <v>387</v>
      </c>
      <c r="E10" s="95">
        <v>92701000</v>
      </c>
      <c r="F10" s="95"/>
      <c r="G10" s="95"/>
      <c r="H10" s="96">
        <v>2309.0700000000002</v>
      </c>
    </row>
    <row r="11" spans="1:8" x14ac:dyDescent="0.25">
      <c r="A11" s="95" t="s">
        <v>409</v>
      </c>
      <c r="B11" s="95" t="s">
        <v>410</v>
      </c>
      <c r="C11" s="95" t="s">
        <v>486</v>
      </c>
      <c r="D11" s="95" t="s">
        <v>387</v>
      </c>
      <c r="E11" s="95">
        <v>92701000</v>
      </c>
      <c r="F11" s="95"/>
      <c r="G11" s="95"/>
      <c r="H11" s="96">
        <v>2309.0700000000002</v>
      </c>
    </row>
    <row r="12" spans="1:8" x14ac:dyDescent="0.25">
      <c r="A12" s="95" t="s">
        <v>411</v>
      </c>
      <c r="B12" s="95" t="s">
        <v>412</v>
      </c>
      <c r="C12" s="95" t="s">
        <v>486</v>
      </c>
      <c r="D12" s="95" t="s">
        <v>387</v>
      </c>
      <c r="E12" s="95">
        <v>92701000</v>
      </c>
      <c r="F12" s="95"/>
      <c r="G12" s="95"/>
      <c r="H12" s="96">
        <v>2309.0700000000002</v>
      </c>
    </row>
    <row r="13" spans="1:8" x14ac:dyDescent="0.25">
      <c r="A13" s="95" t="s">
        <v>413</v>
      </c>
      <c r="B13" s="95" t="s">
        <v>414</v>
      </c>
      <c r="C13" s="95" t="s">
        <v>486</v>
      </c>
      <c r="D13" s="95" t="s">
        <v>387</v>
      </c>
      <c r="E13" s="95">
        <v>92701000</v>
      </c>
      <c r="F13" s="95"/>
      <c r="G13" s="95"/>
      <c r="H13" s="96">
        <v>2548.73</v>
      </c>
    </row>
    <row r="14" spans="1:8" x14ac:dyDescent="0.25">
      <c r="A14" s="95" t="s">
        <v>415</v>
      </c>
      <c r="B14" s="95" t="s">
        <v>416</v>
      </c>
      <c r="C14" s="95" t="s">
        <v>486</v>
      </c>
      <c r="D14" s="95" t="s">
        <v>387</v>
      </c>
      <c r="E14" s="95">
        <v>92701000</v>
      </c>
      <c r="F14" s="95"/>
      <c r="G14" s="95"/>
      <c r="H14" s="96">
        <v>2183.86</v>
      </c>
    </row>
    <row r="15" spans="1:8" x14ac:dyDescent="0.25">
      <c r="A15" s="95" t="s">
        <v>417</v>
      </c>
      <c r="B15" s="95" t="s">
        <v>418</v>
      </c>
      <c r="C15" s="95" t="s">
        <v>486</v>
      </c>
      <c r="D15" s="95" t="s">
        <v>387</v>
      </c>
      <c r="E15" s="95">
        <v>92701000</v>
      </c>
      <c r="F15" s="95"/>
      <c r="G15" s="95"/>
      <c r="H15" s="96">
        <v>2309.0700000000002</v>
      </c>
    </row>
    <row r="16" spans="1:8" x14ac:dyDescent="0.25">
      <c r="A16" s="95" t="s">
        <v>419</v>
      </c>
      <c r="B16" s="95" t="s">
        <v>420</v>
      </c>
      <c r="C16" s="95" t="s">
        <v>486</v>
      </c>
      <c r="D16" s="95" t="s">
        <v>387</v>
      </c>
      <c r="E16" s="95">
        <v>92701000</v>
      </c>
      <c r="F16" s="95"/>
      <c r="G16" s="95"/>
      <c r="H16" s="96">
        <v>2309.0700000000002</v>
      </c>
    </row>
    <row r="17" spans="1:8" x14ac:dyDescent="0.25">
      <c r="A17" s="95" t="s">
        <v>421</v>
      </c>
      <c r="B17" s="95" t="s">
        <v>422</v>
      </c>
      <c r="C17" s="95" t="s">
        <v>486</v>
      </c>
      <c r="D17" s="95" t="s">
        <v>387</v>
      </c>
      <c r="E17" s="95">
        <v>92701000</v>
      </c>
      <c r="F17" s="95"/>
      <c r="G17" s="95"/>
      <c r="H17" s="96">
        <v>846.94</v>
      </c>
    </row>
    <row r="18" spans="1:8" x14ac:dyDescent="0.25">
      <c r="A18" s="95" t="s">
        <v>423</v>
      </c>
      <c r="B18" s="95" t="s">
        <v>424</v>
      </c>
      <c r="C18" s="95" t="s">
        <v>486</v>
      </c>
      <c r="D18" s="95" t="s">
        <v>387</v>
      </c>
      <c r="E18" s="95">
        <v>92701000</v>
      </c>
      <c r="F18" s="95"/>
      <c r="G18" s="95"/>
      <c r="H18" s="96">
        <v>2309.0700000000002</v>
      </c>
    </row>
    <row r="19" spans="1:8" x14ac:dyDescent="0.25">
      <c r="A19" s="95" t="s">
        <v>425</v>
      </c>
      <c r="B19" s="95" t="s">
        <v>426</v>
      </c>
      <c r="C19" s="95" t="s">
        <v>486</v>
      </c>
      <c r="D19" s="95" t="s">
        <v>387</v>
      </c>
      <c r="E19" s="95">
        <v>92701000</v>
      </c>
      <c r="F19" s="95"/>
      <c r="G19" s="95"/>
      <c r="H19" s="96">
        <v>2309.0700000000002</v>
      </c>
    </row>
    <row r="20" spans="1:8" x14ac:dyDescent="0.25">
      <c r="A20" s="95" t="s">
        <v>427</v>
      </c>
      <c r="B20" s="95" t="s">
        <v>428</v>
      </c>
      <c r="C20" s="95" t="s">
        <v>486</v>
      </c>
      <c r="D20" s="95" t="s">
        <v>387</v>
      </c>
      <c r="E20" s="95">
        <v>92701000</v>
      </c>
      <c r="F20" s="95"/>
      <c r="G20" s="95"/>
      <c r="H20" s="96">
        <v>2183.86</v>
      </c>
    </row>
    <row r="21" spans="1:8" x14ac:dyDescent="0.25">
      <c r="A21" s="95" t="s">
        <v>447</v>
      </c>
      <c r="B21" s="95" t="s">
        <v>448</v>
      </c>
      <c r="C21" s="95" t="s">
        <v>486</v>
      </c>
      <c r="D21" s="95" t="s">
        <v>387</v>
      </c>
      <c r="E21" s="95">
        <v>92701000</v>
      </c>
      <c r="F21" s="95"/>
      <c r="G21" s="95"/>
      <c r="H21" s="96">
        <v>2309.0700000000002</v>
      </c>
    </row>
    <row r="22" spans="1:8" x14ac:dyDescent="0.25">
      <c r="A22" s="95" t="s">
        <v>445</v>
      </c>
      <c r="B22" s="95" t="s">
        <v>446</v>
      </c>
      <c r="C22" s="95" t="s">
        <v>486</v>
      </c>
      <c r="D22" s="95" t="s">
        <v>387</v>
      </c>
      <c r="E22" s="95">
        <v>92701000</v>
      </c>
      <c r="F22" s="95"/>
      <c r="G22" s="95"/>
      <c r="H22" s="96">
        <v>2112.04</v>
      </c>
    </row>
    <row r="23" spans="1:8" x14ac:dyDescent="0.25">
      <c r="A23" s="95" t="s">
        <v>429</v>
      </c>
      <c r="B23" s="95" t="s">
        <v>430</v>
      </c>
      <c r="C23" s="95" t="s">
        <v>486</v>
      </c>
      <c r="D23" s="95" t="s">
        <v>387</v>
      </c>
      <c r="E23" s="95">
        <v>92701000</v>
      </c>
      <c r="F23" s="95"/>
      <c r="G23" s="95"/>
      <c r="H23" s="96">
        <v>2309.0700000000002</v>
      </c>
    </row>
    <row r="24" spans="1:8" x14ac:dyDescent="0.25">
      <c r="A24" s="95" t="s">
        <v>431</v>
      </c>
      <c r="B24" s="95" t="s">
        <v>432</v>
      </c>
      <c r="C24" s="95" t="s">
        <v>486</v>
      </c>
      <c r="D24" s="95" t="s">
        <v>387</v>
      </c>
      <c r="E24" s="95">
        <v>92701000</v>
      </c>
      <c r="F24" s="95"/>
      <c r="G24" s="95"/>
      <c r="H24" s="96">
        <v>2309.0700000000002</v>
      </c>
    </row>
    <row r="25" spans="1:8" x14ac:dyDescent="0.25">
      <c r="A25" s="95" t="s">
        <v>433</v>
      </c>
      <c r="B25" s="95" t="s">
        <v>434</v>
      </c>
      <c r="C25" s="95" t="s">
        <v>486</v>
      </c>
      <c r="D25" s="95" t="s">
        <v>387</v>
      </c>
      <c r="E25" s="95">
        <v>92701000</v>
      </c>
      <c r="F25" s="95"/>
      <c r="G25" s="95"/>
      <c r="H25" s="96">
        <v>2169.83</v>
      </c>
    </row>
    <row r="26" spans="1:8" x14ac:dyDescent="0.25">
      <c r="A26" s="95" t="s">
        <v>435</v>
      </c>
      <c r="B26" s="95" t="s">
        <v>436</v>
      </c>
      <c r="C26" s="95" t="s">
        <v>486</v>
      </c>
      <c r="D26" s="95" t="s">
        <v>387</v>
      </c>
      <c r="E26" s="95">
        <v>92701000</v>
      </c>
      <c r="F26" s="95"/>
      <c r="G26" s="95"/>
      <c r="H26" s="96">
        <v>2309.0700000000002</v>
      </c>
    </row>
    <row r="27" spans="1:8" x14ac:dyDescent="0.25">
      <c r="A27" s="95" t="s">
        <v>437</v>
      </c>
      <c r="B27" s="95" t="s">
        <v>438</v>
      </c>
      <c r="C27" s="95" t="s">
        <v>486</v>
      </c>
      <c r="D27" s="95" t="s">
        <v>387</v>
      </c>
      <c r="E27" s="95">
        <v>92701000</v>
      </c>
      <c r="F27" s="95"/>
      <c r="G27" s="95"/>
      <c r="H27" s="96">
        <v>2309.0700000000002</v>
      </c>
    </row>
    <row r="28" spans="1:8" x14ac:dyDescent="0.25">
      <c r="A28" s="95" t="s">
        <v>439</v>
      </c>
      <c r="B28" s="95" t="s">
        <v>440</v>
      </c>
      <c r="C28" s="95" t="s">
        <v>486</v>
      </c>
      <c r="D28" s="95" t="s">
        <v>387</v>
      </c>
      <c r="E28" s="95">
        <v>92701000</v>
      </c>
      <c r="F28" s="95"/>
      <c r="G28" s="95"/>
      <c r="H28" s="96">
        <v>2309.81</v>
      </c>
    </row>
    <row r="29" spans="1:8" x14ac:dyDescent="0.25">
      <c r="A29" s="95" t="s">
        <v>441</v>
      </c>
      <c r="B29" s="95" t="s">
        <v>442</v>
      </c>
      <c r="C29" s="95" t="s">
        <v>486</v>
      </c>
      <c r="D29" s="95" t="s">
        <v>387</v>
      </c>
      <c r="E29" s="95">
        <v>92701000</v>
      </c>
      <c r="F29" s="95"/>
      <c r="G29" s="95"/>
      <c r="H29" s="96">
        <v>2309.0700000000002</v>
      </c>
    </row>
    <row r="30" spans="1:8" x14ac:dyDescent="0.25">
      <c r="A30" s="95" t="s">
        <v>443</v>
      </c>
      <c r="B30" s="95" t="s">
        <v>444</v>
      </c>
      <c r="C30" s="95" t="s">
        <v>486</v>
      </c>
      <c r="D30" s="95" t="s">
        <v>387</v>
      </c>
      <c r="E30" s="95">
        <v>92701000</v>
      </c>
      <c r="F30" s="95"/>
      <c r="G30" s="95"/>
      <c r="H30" s="96">
        <v>4849.07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399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 t="str">
        <f>"ИНН "&amp;INN&amp;", БИК "&amp;BIC&amp;", Р/С "&amp;PersonalAcc</f>
        <v>ИНН 1657032924, БИК 019205400, Р/С 03234643927010001100</v>
      </c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 t="str">
        <f>"ИНН "&amp;INN&amp;", БИК "&amp;BIC&amp;", Р/С "&amp;PersonalAcc</f>
        <v>ИНН 1657032924, БИК 019205400, Р/С 03234643927010001100</v>
      </c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 t="str">
        <f>"ИНН "&amp;INN&amp;", БИК "&amp;BIC&amp;", Р/С "&amp;PersonalAcc</f>
        <v>ИНН 1657032924, БИК 019205400, Р/С 03234643927010001100</v>
      </c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 t="str">
        <f>"ИНН "&amp;INN&amp;", БИК "&amp;BIC&amp;", Р/С "&amp;PersonalAcc</f>
        <v>ИНН 1657032924, БИК 019205400, Р/С 03234643927010001100</v>
      </c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 t="str">
        <f>"ИНН "&amp;INN&amp;", БИК "&amp;BIC&amp;", Р/С "&amp;PersonalAcc</f>
        <v>ИНН 1657032924, БИК 019205400, Р/С 03234643927010001100</v>
      </c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 t="str">
        <f>"ИНН "&amp;INN&amp;", БИК "&amp;BIC&amp;", Р/С "&amp;PersonalAcc</f>
        <v>ИНН 1657032924, БИК 019205400, Р/С 03234643927010001100</v>
      </c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X2:AT3"/>
    <mergeCell ref="B5:N9"/>
    <mergeCell ref="A2:W4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38:N42"/>
    <mergeCell ref="Y38:AK42"/>
    <mergeCell ref="A44:W45"/>
    <mergeCell ref="X44:AT45"/>
    <mergeCell ref="B47:N51"/>
    <mergeCell ref="Y47:AK51"/>
    <mergeCell ref="B56:N57"/>
    <mergeCell ref="Y56:AK57"/>
    <mergeCell ref="B59:N63"/>
    <mergeCell ref="Y59:AK63"/>
    <mergeCell ref="B52:N53"/>
    <mergeCell ref="Y52:AK53"/>
    <mergeCell ref="B54:N55"/>
    <mergeCell ref="Y54:AK55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6"/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3"/>
      <c r="X2" s="106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8"/>
    </row>
    <row r="3" spans="1:46" s="13" customFormat="1" ht="12.75" customHeight="1" x14ac:dyDescent="0.2">
      <c r="A3" s="106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3"/>
      <c r="X3" s="109"/>
      <c r="Y3" s="107"/>
      <c r="Z3" s="107"/>
      <c r="AA3" s="107"/>
      <c r="AB3" s="107"/>
      <c r="AC3" s="107"/>
      <c r="AD3" s="107"/>
      <c r="AE3" s="107"/>
      <c r="AF3" s="107"/>
      <c r="AG3" s="107"/>
      <c r="AH3" s="107"/>
      <c r="AI3" s="107"/>
      <c r="AJ3" s="107"/>
      <c r="AK3" s="107"/>
      <c r="AL3" s="107"/>
      <c r="AM3" s="107"/>
      <c r="AN3" s="107"/>
      <c r="AO3" s="107"/>
      <c r="AP3" s="107"/>
      <c r="AQ3" s="107"/>
      <c r="AR3" s="107"/>
      <c r="AS3" s="107"/>
      <c r="AT3" s="108"/>
    </row>
    <row r="4" spans="1:46" s="13" customFormat="1" ht="6" customHeight="1" x14ac:dyDescent="0.2">
      <c r="A4" s="106"/>
      <c r="B4" s="112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  <c r="Q4" s="112"/>
      <c r="R4" s="112"/>
      <c r="S4" s="112"/>
      <c r="T4" s="112"/>
      <c r="U4" s="112"/>
      <c r="V4" s="112"/>
      <c r="W4" s="113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11"/>
      <c r="C5" s="111"/>
      <c r="D5" s="111"/>
      <c r="E5" s="111"/>
      <c r="F5" s="111"/>
      <c r="G5" s="111"/>
      <c r="H5" s="111"/>
      <c r="I5" s="111"/>
      <c r="J5" s="111"/>
      <c r="K5" s="111"/>
      <c r="L5" s="111"/>
      <c r="M5" s="111"/>
      <c r="N5" s="111"/>
      <c r="O5" s="28"/>
      <c r="P5" s="28"/>
      <c r="Q5" s="28"/>
      <c r="R5" s="28"/>
      <c r="S5" s="28"/>
      <c r="T5" s="28"/>
      <c r="U5" s="28"/>
      <c r="V5" s="28"/>
      <c r="W5" s="15"/>
      <c r="X5" s="14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11"/>
      <c r="C6" s="111"/>
      <c r="D6" s="111"/>
      <c r="E6" s="111"/>
      <c r="F6" s="111"/>
      <c r="G6" s="111"/>
      <c r="H6" s="111"/>
      <c r="I6" s="111"/>
      <c r="J6" s="111"/>
      <c r="K6" s="111"/>
      <c r="L6" s="111"/>
      <c r="M6" s="111"/>
      <c r="N6" s="111"/>
      <c r="O6" s="28"/>
      <c r="P6" s="28"/>
      <c r="Q6" s="28"/>
      <c r="R6" s="28"/>
      <c r="S6" s="28"/>
      <c r="T6" s="28"/>
      <c r="U6" s="28"/>
      <c r="V6" s="28"/>
      <c r="W6" s="15"/>
      <c r="X6" s="14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11"/>
      <c r="C7" s="111"/>
      <c r="D7" s="111"/>
      <c r="E7" s="111"/>
      <c r="F7" s="111"/>
      <c r="G7" s="111"/>
      <c r="H7" s="111"/>
      <c r="I7" s="111"/>
      <c r="J7" s="111"/>
      <c r="K7" s="111"/>
      <c r="L7" s="111"/>
      <c r="M7" s="111"/>
      <c r="N7" s="111"/>
      <c r="O7" s="12"/>
      <c r="P7" s="12"/>
      <c r="Q7" s="12"/>
      <c r="R7" s="12"/>
      <c r="S7" s="12"/>
      <c r="T7" s="12"/>
      <c r="U7" s="12"/>
      <c r="V7" s="12"/>
      <c r="W7" s="15"/>
      <c r="X7" s="14"/>
      <c r="Y7" s="110"/>
      <c r="Z7" s="110"/>
      <c r="AA7" s="110"/>
      <c r="AB7" s="110"/>
      <c r="AC7" s="110"/>
      <c r="AD7" s="110"/>
      <c r="AE7" s="110"/>
      <c r="AF7" s="110"/>
      <c r="AG7" s="110"/>
      <c r="AH7" s="110"/>
      <c r="AI7" s="110"/>
      <c r="AJ7" s="110"/>
      <c r="AK7" s="110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11"/>
      <c r="C8" s="111"/>
      <c r="D8" s="111"/>
      <c r="E8" s="111"/>
      <c r="F8" s="111"/>
      <c r="G8" s="111"/>
      <c r="H8" s="111"/>
      <c r="I8" s="111"/>
      <c r="J8" s="111"/>
      <c r="K8" s="111"/>
      <c r="L8" s="111"/>
      <c r="M8" s="111"/>
      <c r="N8" s="111"/>
      <c r="O8" s="12"/>
      <c r="P8" s="12"/>
      <c r="Q8" s="12"/>
      <c r="R8" s="12"/>
      <c r="S8" s="12"/>
      <c r="T8" s="12"/>
      <c r="U8" s="12"/>
      <c r="V8" s="12"/>
      <c r="W8" s="15"/>
      <c r="X8" s="14"/>
      <c r="Y8" s="110"/>
      <c r="Z8" s="110"/>
      <c r="AA8" s="110"/>
      <c r="AB8" s="110"/>
      <c r="AC8" s="110"/>
      <c r="AD8" s="110"/>
      <c r="AE8" s="110"/>
      <c r="AF8" s="110"/>
      <c r="AG8" s="110"/>
      <c r="AH8" s="110"/>
      <c r="AI8" s="110"/>
      <c r="AJ8" s="110"/>
      <c r="AK8" s="110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11"/>
      <c r="C9" s="111"/>
      <c r="D9" s="111"/>
      <c r="E9" s="111"/>
      <c r="F9" s="111"/>
      <c r="G9" s="111"/>
      <c r="H9" s="111"/>
      <c r="I9" s="111"/>
      <c r="J9" s="111"/>
      <c r="K9" s="111"/>
      <c r="L9" s="111"/>
      <c r="M9" s="111"/>
      <c r="N9" s="111"/>
      <c r="O9" s="12"/>
      <c r="P9" s="12"/>
      <c r="Q9" s="12"/>
      <c r="R9" s="12"/>
      <c r="S9" s="12"/>
      <c r="T9" s="12"/>
      <c r="U9" s="12"/>
      <c r="V9" s="12"/>
      <c r="W9" s="15"/>
      <c r="X9" s="14"/>
      <c r="Y9" s="110"/>
      <c r="Z9" s="110"/>
      <c r="AA9" s="110"/>
      <c r="AB9" s="110"/>
      <c r="AC9" s="110"/>
      <c r="AD9" s="110"/>
      <c r="AE9" s="110"/>
      <c r="AF9" s="110"/>
      <c r="AG9" s="110"/>
      <c r="AH9" s="110"/>
      <c r="AI9" s="110"/>
      <c r="AJ9" s="110"/>
      <c r="AK9" s="110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2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1"/>
      <c r="Z10" s="101"/>
      <c r="AA10" s="101"/>
      <c r="AB10" s="101"/>
      <c r="AC10" s="101"/>
      <c r="AD10" s="101"/>
      <c r="AE10" s="101"/>
      <c r="AF10" s="101"/>
      <c r="AG10" s="101"/>
      <c r="AH10" s="101"/>
      <c r="AI10" s="101"/>
      <c r="AJ10" s="101"/>
      <c r="AK10" s="102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2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1"/>
      <c r="Z11" s="101"/>
      <c r="AA11" s="101"/>
      <c r="AB11" s="101"/>
      <c r="AC11" s="101"/>
      <c r="AD11" s="101"/>
      <c r="AE11" s="101"/>
      <c r="AF11" s="101"/>
      <c r="AG11" s="101"/>
      <c r="AH11" s="101"/>
      <c r="AI11" s="101"/>
      <c r="AJ11" s="101"/>
      <c r="AK11" s="102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2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1"/>
      <c r="Z12" s="101"/>
      <c r="AA12" s="101"/>
      <c r="AB12" s="101"/>
      <c r="AC12" s="101"/>
      <c r="AD12" s="101"/>
      <c r="AE12" s="101"/>
      <c r="AF12" s="101"/>
      <c r="AG12" s="101"/>
      <c r="AH12" s="101"/>
      <c r="AI12" s="101"/>
      <c r="AJ12" s="101"/>
      <c r="AK12" s="102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2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1"/>
      <c r="Z13" s="101"/>
      <c r="AA13" s="101"/>
      <c r="AB13" s="101"/>
      <c r="AC13" s="101"/>
      <c r="AD13" s="101"/>
      <c r="AE13" s="101"/>
      <c r="AF13" s="101"/>
      <c r="AG13" s="101"/>
      <c r="AH13" s="101"/>
      <c r="AI13" s="101"/>
      <c r="AJ13" s="101"/>
      <c r="AK13" s="102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2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1"/>
      <c r="Z14" s="101"/>
      <c r="AA14" s="101"/>
      <c r="AB14" s="101"/>
      <c r="AC14" s="101"/>
      <c r="AD14" s="101"/>
      <c r="AE14" s="101"/>
      <c r="AF14" s="101"/>
      <c r="AG14" s="101"/>
      <c r="AH14" s="101"/>
      <c r="AI14" s="101"/>
      <c r="AJ14" s="101"/>
      <c r="AK14" s="102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2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1"/>
      <c r="Z15" s="101"/>
      <c r="AA15" s="101"/>
      <c r="AB15" s="101"/>
      <c r="AC15" s="101"/>
      <c r="AD15" s="101"/>
      <c r="AE15" s="101"/>
      <c r="AF15" s="101"/>
      <c r="AG15" s="101"/>
      <c r="AH15" s="101"/>
      <c r="AI15" s="101"/>
      <c r="AJ15" s="101"/>
      <c r="AK15" s="102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03"/>
      <c r="C17" s="103"/>
      <c r="D17" s="103"/>
      <c r="E17" s="103"/>
      <c r="F17" s="103"/>
      <c r="G17" s="103"/>
      <c r="H17" s="103"/>
      <c r="I17" s="103"/>
      <c r="J17" s="103"/>
      <c r="K17" s="103"/>
      <c r="L17" s="103"/>
      <c r="M17" s="103"/>
      <c r="N17" s="104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03"/>
      <c r="Z17" s="103"/>
      <c r="AA17" s="103"/>
      <c r="AB17" s="103"/>
      <c r="AC17" s="103"/>
      <c r="AD17" s="103"/>
      <c r="AE17" s="103"/>
      <c r="AF17" s="103"/>
      <c r="AG17" s="103"/>
      <c r="AH17" s="103"/>
      <c r="AI17" s="103"/>
      <c r="AJ17" s="103"/>
      <c r="AK17" s="104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03"/>
      <c r="Z18" s="103"/>
      <c r="AA18" s="103"/>
      <c r="AB18" s="103"/>
      <c r="AC18" s="103"/>
      <c r="AD18" s="103"/>
      <c r="AE18" s="103"/>
      <c r="AF18" s="103"/>
      <c r="AG18" s="103"/>
      <c r="AH18" s="103"/>
      <c r="AI18" s="103"/>
      <c r="AJ18" s="103"/>
      <c r="AK18" s="104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03"/>
      <c r="C19" s="103"/>
      <c r="D19" s="103"/>
      <c r="E19" s="103"/>
      <c r="F19" s="103"/>
      <c r="G19" s="103"/>
      <c r="H19" s="103"/>
      <c r="I19" s="103"/>
      <c r="J19" s="103"/>
      <c r="K19" s="103"/>
      <c r="L19" s="103"/>
      <c r="M19" s="103"/>
      <c r="N19" s="104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03"/>
      <c r="Z19" s="103"/>
      <c r="AA19" s="103"/>
      <c r="AB19" s="103"/>
      <c r="AC19" s="103"/>
      <c r="AD19" s="103"/>
      <c r="AE19" s="103"/>
      <c r="AF19" s="103"/>
      <c r="AG19" s="103"/>
      <c r="AH19" s="103"/>
      <c r="AI19" s="103"/>
      <c r="AJ19" s="103"/>
      <c r="AK19" s="104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4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05"/>
      <c r="C21" s="105"/>
      <c r="D21" s="105"/>
      <c r="E21" s="105"/>
      <c r="F21" s="105"/>
      <c r="G21" s="105"/>
      <c r="H21" s="105"/>
      <c r="I21" s="105"/>
      <c r="J21" s="105"/>
      <c r="K21" s="105"/>
      <c r="L21" s="105"/>
      <c r="M21" s="105"/>
      <c r="N21" s="105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05"/>
      <c r="Z21" s="105"/>
      <c r="AA21" s="105"/>
      <c r="AB21" s="105"/>
      <c r="AC21" s="105"/>
      <c r="AD21" s="105"/>
      <c r="AE21" s="105"/>
      <c r="AF21" s="105"/>
      <c r="AG21" s="105"/>
      <c r="AH21" s="105"/>
      <c r="AI21" s="105"/>
      <c r="AJ21" s="105"/>
      <c r="AK21" s="105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6"/>
      <c r="B23" s="107"/>
      <c r="C23" s="107"/>
      <c r="D23" s="107"/>
      <c r="E23" s="10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8"/>
      <c r="X23" s="106"/>
      <c r="Y23" s="107"/>
      <c r="Z23" s="107"/>
      <c r="AA23" s="107"/>
      <c r="AB23" s="107"/>
      <c r="AC23" s="107"/>
      <c r="AD23" s="107"/>
      <c r="AE23" s="107"/>
      <c r="AF23" s="107"/>
      <c r="AG23" s="107"/>
      <c r="AH23" s="107"/>
      <c r="AI23" s="107"/>
      <c r="AJ23" s="107"/>
      <c r="AK23" s="107"/>
      <c r="AL23" s="107"/>
      <c r="AM23" s="107"/>
      <c r="AN23" s="107"/>
      <c r="AO23" s="107"/>
      <c r="AP23" s="107"/>
      <c r="AQ23" s="107"/>
      <c r="AR23" s="107"/>
      <c r="AS23" s="107"/>
      <c r="AT23" s="108"/>
    </row>
    <row r="24" spans="1:46" s="13" customFormat="1" ht="12.75" customHeight="1" x14ac:dyDescent="0.2">
      <c r="A24" s="109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8"/>
      <c r="X24" s="109"/>
      <c r="Y24" s="107"/>
      <c r="Z24" s="107"/>
      <c r="AA24" s="107"/>
      <c r="AB24" s="107"/>
      <c r="AC24" s="107"/>
      <c r="AD24" s="107"/>
      <c r="AE24" s="107"/>
      <c r="AF24" s="107"/>
      <c r="AG24" s="107"/>
      <c r="AH24" s="107"/>
      <c r="AI24" s="107"/>
      <c r="AJ24" s="107"/>
      <c r="AK24" s="107"/>
      <c r="AL24" s="107"/>
      <c r="AM24" s="107"/>
      <c r="AN24" s="107"/>
      <c r="AO24" s="107"/>
      <c r="AP24" s="107"/>
      <c r="AQ24" s="107"/>
      <c r="AR24" s="107"/>
      <c r="AS24" s="107"/>
      <c r="AT24" s="108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10"/>
      <c r="C26" s="110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10"/>
      <c r="Z26" s="110"/>
      <c r="AA26" s="110"/>
      <c r="AB26" s="110"/>
      <c r="AC26" s="110"/>
      <c r="AD26" s="110"/>
      <c r="AE26" s="110"/>
      <c r="AF26" s="110"/>
      <c r="AG26" s="110"/>
      <c r="AH26" s="110"/>
      <c r="AI26" s="110"/>
      <c r="AJ26" s="110"/>
      <c r="AK26" s="110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10"/>
      <c r="C27" s="110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10"/>
      <c r="Z27" s="110"/>
      <c r="AA27" s="110"/>
      <c r="AB27" s="110"/>
      <c r="AC27" s="110"/>
      <c r="AD27" s="110"/>
      <c r="AE27" s="110"/>
      <c r="AF27" s="110"/>
      <c r="AG27" s="110"/>
      <c r="AH27" s="110"/>
      <c r="AI27" s="110"/>
      <c r="AJ27" s="110"/>
      <c r="AK27" s="110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10"/>
      <c r="C28" s="110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10"/>
      <c r="Z28" s="110"/>
      <c r="AA28" s="110"/>
      <c r="AB28" s="110"/>
      <c r="AC28" s="110"/>
      <c r="AD28" s="110"/>
      <c r="AE28" s="110"/>
      <c r="AF28" s="110"/>
      <c r="AG28" s="110"/>
      <c r="AH28" s="110"/>
      <c r="AI28" s="110"/>
      <c r="AJ28" s="110"/>
      <c r="AK28" s="110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10"/>
      <c r="C29" s="110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10"/>
      <c r="Z29" s="110"/>
      <c r="AA29" s="110"/>
      <c r="AB29" s="110"/>
      <c r="AC29" s="110"/>
      <c r="AD29" s="110"/>
      <c r="AE29" s="110"/>
      <c r="AF29" s="110"/>
      <c r="AG29" s="110"/>
      <c r="AH29" s="110"/>
      <c r="AI29" s="110"/>
      <c r="AJ29" s="110"/>
      <c r="AK29" s="110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10"/>
      <c r="C30" s="110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10"/>
      <c r="Z30" s="110"/>
      <c r="AA30" s="110"/>
      <c r="AB30" s="110"/>
      <c r="AC30" s="110"/>
      <c r="AD30" s="110"/>
      <c r="AE30" s="110"/>
      <c r="AF30" s="110"/>
      <c r="AG30" s="110"/>
      <c r="AH30" s="110"/>
      <c r="AI30" s="110"/>
      <c r="AJ30" s="110"/>
      <c r="AK30" s="110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2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1"/>
      <c r="Z31" s="101"/>
      <c r="AA31" s="101"/>
      <c r="AB31" s="101"/>
      <c r="AC31" s="101"/>
      <c r="AD31" s="101"/>
      <c r="AE31" s="101"/>
      <c r="AF31" s="101"/>
      <c r="AG31" s="101"/>
      <c r="AH31" s="101"/>
      <c r="AI31" s="101"/>
      <c r="AJ31" s="101"/>
      <c r="AK31" s="102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2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1"/>
      <c r="Z32" s="101"/>
      <c r="AA32" s="101"/>
      <c r="AB32" s="101"/>
      <c r="AC32" s="101"/>
      <c r="AD32" s="101"/>
      <c r="AE32" s="101"/>
      <c r="AF32" s="101"/>
      <c r="AG32" s="101"/>
      <c r="AH32" s="101"/>
      <c r="AI32" s="101"/>
      <c r="AJ32" s="101"/>
      <c r="AK32" s="102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2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1"/>
      <c r="Z33" s="101"/>
      <c r="AA33" s="101"/>
      <c r="AB33" s="101"/>
      <c r="AC33" s="101"/>
      <c r="AD33" s="101"/>
      <c r="AE33" s="101"/>
      <c r="AF33" s="101"/>
      <c r="AG33" s="101"/>
      <c r="AH33" s="101"/>
      <c r="AI33" s="101"/>
      <c r="AJ33" s="101"/>
      <c r="AK33" s="102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2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1"/>
      <c r="Z34" s="101"/>
      <c r="AA34" s="101"/>
      <c r="AB34" s="101"/>
      <c r="AC34" s="101"/>
      <c r="AD34" s="101"/>
      <c r="AE34" s="101"/>
      <c r="AF34" s="101"/>
      <c r="AG34" s="101"/>
      <c r="AH34" s="101"/>
      <c r="AI34" s="101"/>
      <c r="AJ34" s="101"/>
      <c r="AK34" s="102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1"/>
      <c r="C35" s="101"/>
      <c r="D35" s="101"/>
      <c r="E35" s="101"/>
      <c r="F35" s="101"/>
      <c r="G35" s="101"/>
      <c r="H35" s="101"/>
      <c r="I35" s="101"/>
      <c r="J35" s="101"/>
      <c r="K35" s="101"/>
      <c r="L35" s="101"/>
      <c r="M35" s="101"/>
      <c r="N35" s="102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1"/>
      <c r="Z35" s="101"/>
      <c r="AA35" s="101"/>
      <c r="AB35" s="101"/>
      <c r="AC35" s="101"/>
      <c r="AD35" s="101"/>
      <c r="AE35" s="101"/>
      <c r="AF35" s="101"/>
      <c r="AG35" s="101"/>
      <c r="AH35" s="101"/>
      <c r="AI35" s="101"/>
      <c r="AJ35" s="101"/>
      <c r="AK35" s="102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2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2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/>
      <c r="N38" s="104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03"/>
      <c r="Z38" s="103"/>
      <c r="AA38" s="103"/>
      <c r="AB38" s="103"/>
      <c r="AC38" s="103"/>
      <c r="AD38" s="103"/>
      <c r="AE38" s="103"/>
      <c r="AF38" s="103"/>
      <c r="AG38" s="103"/>
      <c r="AH38" s="103"/>
      <c r="AI38" s="103"/>
      <c r="AJ38" s="103"/>
      <c r="AK38" s="104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03"/>
      <c r="C39" s="103"/>
      <c r="D39" s="103"/>
      <c r="E39" s="103"/>
      <c r="F39" s="103"/>
      <c r="G39" s="103"/>
      <c r="H39" s="103"/>
      <c r="I39" s="103"/>
      <c r="J39" s="103"/>
      <c r="K39" s="103"/>
      <c r="L39" s="103"/>
      <c r="M39" s="103"/>
      <c r="N39" s="104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03"/>
      <c r="Z39" s="103"/>
      <c r="AA39" s="103"/>
      <c r="AB39" s="103"/>
      <c r="AC39" s="103"/>
      <c r="AD39" s="103"/>
      <c r="AE39" s="103"/>
      <c r="AF39" s="103"/>
      <c r="AG39" s="103"/>
      <c r="AH39" s="103"/>
      <c r="AI39" s="103"/>
      <c r="AJ39" s="103"/>
      <c r="AK39" s="104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/>
      <c r="N40" s="104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03"/>
      <c r="Z40" s="103"/>
      <c r="AA40" s="103"/>
      <c r="AB40" s="103"/>
      <c r="AC40" s="103"/>
      <c r="AD40" s="103"/>
      <c r="AE40" s="103"/>
      <c r="AF40" s="103"/>
      <c r="AG40" s="103"/>
      <c r="AH40" s="103"/>
      <c r="AI40" s="103"/>
      <c r="AJ40" s="103"/>
      <c r="AK40" s="104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03"/>
      <c r="C41" s="103"/>
      <c r="D41" s="103"/>
      <c r="E41" s="103"/>
      <c r="F41" s="103"/>
      <c r="G41" s="103"/>
      <c r="H41" s="103"/>
      <c r="I41" s="103"/>
      <c r="J41" s="103"/>
      <c r="K41" s="103"/>
      <c r="L41" s="103"/>
      <c r="M41" s="103"/>
      <c r="N41" s="104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03"/>
      <c r="Z41" s="103"/>
      <c r="AA41" s="103"/>
      <c r="AB41" s="103"/>
      <c r="AC41" s="103"/>
      <c r="AD41" s="103"/>
      <c r="AE41" s="103"/>
      <c r="AF41" s="103"/>
      <c r="AG41" s="103"/>
      <c r="AH41" s="103"/>
      <c r="AI41" s="103"/>
      <c r="AJ41" s="103"/>
      <c r="AK41" s="104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05"/>
      <c r="C42" s="105"/>
      <c r="D42" s="105"/>
      <c r="E42" s="105"/>
      <c r="F42" s="105"/>
      <c r="G42" s="105"/>
      <c r="H42" s="105"/>
      <c r="I42" s="105"/>
      <c r="J42" s="105"/>
      <c r="K42" s="105"/>
      <c r="L42" s="105"/>
      <c r="M42" s="105"/>
      <c r="N42" s="105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05"/>
      <c r="Z42" s="105"/>
      <c r="AA42" s="105"/>
      <c r="AB42" s="105"/>
      <c r="AC42" s="105"/>
      <c r="AD42" s="105"/>
      <c r="AE42" s="105"/>
      <c r="AF42" s="105"/>
      <c r="AG42" s="105"/>
      <c r="AH42" s="105"/>
      <c r="AI42" s="105"/>
      <c r="AJ42" s="105"/>
      <c r="AK42" s="105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6"/>
      <c r="B44" s="107"/>
      <c r="C44" s="107"/>
      <c r="D44" s="107"/>
      <c r="E44" s="107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8"/>
      <c r="X44" s="106"/>
      <c r="Y44" s="107"/>
      <c r="Z44" s="107"/>
      <c r="AA44" s="107"/>
      <c r="AB44" s="107"/>
      <c r="AC44" s="107"/>
      <c r="AD44" s="107"/>
      <c r="AE44" s="107"/>
      <c r="AF44" s="107"/>
      <c r="AG44" s="107"/>
      <c r="AH44" s="107"/>
      <c r="AI44" s="107"/>
      <c r="AJ44" s="107"/>
      <c r="AK44" s="107"/>
      <c r="AL44" s="107"/>
      <c r="AM44" s="107"/>
      <c r="AN44" s="107"/>
      <c r="AO44" s="107"/>
      <c r="AP44" s="107"/>
      <c r="AQ44" s="107"/>
      <c r="AR44" s="107"/>
      <c r="AS44" s="107"/>
      <c r="AT44" s="108"/>
    </row>
    <row r="45" spans="1:46" s="13" customFormat="1" ht="12.75" customHeight="1" x14ac:dyDescent="0.2">
      <c r="A45" s="109"/>
      <c r="B45" s="107"/>
      <c r="C45" s="107"/>
      <c r="D45" s="107"/>
      <c r="E45" s="107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8"/>
      <c r="X45" s="109"/>
      <c r="Y45" s="107"/>
      <c r="Z45" s="107"/>
      <c r="AA45" s="107"/>
      <c r="AB45" s="107"/>
      <c r="AC45" s="107"/>
      <c r="AD45" s="107"/>
      <c r="AE45" s="107"/>
      <c r="AF45" s="107"/>
      <c r="AG45" s="107"/>
      <c r="AH45" s="107"/>
      <c r="AI45" s="107"/>
      <c r="AJ45" s="107"/>
      <c r="AK45" s="107"/>
      <c r="AL45" s="107"/>
      <c r="AM45" s="107"/>
      <c r="AN45" s="107"/>
      <c r="AO45" s="107"/>
      <c r="AP45" s="107"/>
      <c r="AQ45" s="107"/>
      <c r="AR45" s="107"/>
      <c r="AS45" s="107"/>
      <c r="AT45" s="108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10"/>
      <c r="C47" s="110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10"/>
      <c r="Z47" s="110"/>
      <c r="AA47" s="110"/>
      <c r="AB47" s="110"/>
      <c r="AC47" s="110"/>
      <c r="AD47" s="110"/>
      <c r="AE47" s="110"/>
      <c r="AF47" s="110"/>
      <c r="AG47" s="110"/>
      <c r="AH47" s="110"/>
      <c r="AI47" s="110"/>
      <c r="AJ47" s="110"/>
      <c r="AK47" s="110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10"/>
      <c r="Z48" s="110"/>
      <c r="AA48" s="110"/>
      <c r="AB48" s="110"/>
      <c r="AC48" s="110"/>
      <c r="AD48" s="110"/>
      <c r="AE48" s="110"/>
      <c r="AF48" s="110"/>
      <c r="AG48" s="110"/>
      <c r="AH48" s="110"/>
      <c r="AI48" s="110"/>
      <c r="AJ48" s="110"/>
      <c r="AK48" s="110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10"/>
      <c r="C49" s="110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10"/>
      <c r="Z49" s="110"/>
      <c r="AA49" s="110"/>
      <c r="AB49" s="110"/>
      <c r="AC49" s="110"/>
      <c r="AD49" s="110"/>
      <c r="AE49" s="110"/>
      <c r="AF49" s="110"/>
      <c r="AG49" s="110"/>
      <c r="AH49" s="110"/>
      <c r="AI49" s="110"/>
      <c r="AJ49" s="110"/>
      <c r="AK49" s="110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10"/>
      <c r="C50" s="110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10"/>
      <c r="Z50" s="110"/>
      <c r="AA50" s="110"/>
      <c r="AB50" s="110"/>
      <c r="AC50" s="110"/>
      <c r="AD50" s="110"/>
      <c r="AE50" s="110"/>
      <c r="AF50" s="110"/>
      <c r="AG50" s="110"/>
      <c r="AH50" s="110"/>
      <c r="AI50" s="110"/>
      <c r="AJ50" s="110"/>
      <c r="AK50" s="110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10"/>
      <c r="C51" s="110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10"/>
      <c r="Z51" s="110"/>
      <c r="AA51" s="110"/>
      <c r="AB51" s="110"/>
      <c r="AC51" s="110"/>
      <c r="AD51" s="110"/>
      <c r="AE51" s="110"/>
      <c r="AF51" s="110"/>
      <c r="AG51" s="110"/>
      <c r="AH51" s="110"/>
      <c r="AI51" s="110"/>
      <c r="AJ51" s="110"/>
      <c r="AK51" s="110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1"/>
      <c r="C52" s="101"/>
      <c r="D52" s="101"/>
      <c r="E52" s="101"/>
      <c r="F52" s="101"/>
      <c r="G52" s="101"/>
      <c r="H52" s="101"/>
      <c r="I52" s="101"/>
      <c r="J52" s="101"/>
      <c r="K52" s="101"/>
      <c r="L52" s="101"/>
      <c r="M52" s="101"/>
      <c r="N52" s="102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2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1"/>
      <c r="C53" s="101"/>
      <c r="D53" s="101"/>
      <c r="E53" s="101"/>
      <c r="F53" s="101"/>
      <c r="G53" s="101"/>
      <c r="H53" s="101"/>
      <c r="I53" s="101"/>
      <c r="J53" s="101"/>
      <c r="K53" s="101"/>
      <c r="L53" s="101"/>
      <c r="M53" s="101"/>
      <c r="N53" s="102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1"/>
      <c r="Z53" s="101"/>
      <c r="AA53" s="101"/>
      <c r="AB53" s="101"/>
      <c r="AC53" s="101"/>
      <c r="AD53" s="101"/>
      <c r="AE53" s="101"/>
      <c r="AF53" s="101"/>
      <c r="AG53" s="101"/>
      <c r="AH53" s="101"/>
      <c r="AI53" s="101"/>
      <c r="AJ53" s="101"/>
      <c r="AK53" s="102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1"/>
      <c r="C54" s="101"/>
      <c r="D54" s="101"/>
      <c r="E54" s="101"/>
      <c r="F54" s="101"/>
      <c r="G54" s="101"/>
      <c r="H54" s="101"/>
      <c r="I54" s="101"/>
      <c r="J54" s="101"/>
      <c r="K54" s="101"/>
      <c r="L54" s="101"/>
      <c r="M54" s="101"/>
      <c r="N54" s="102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1"/>
      <c r="Z54" s="101"/>
      <c r="AA54" s="101"/>
      <c r="AB54" s="101"/>
      <c r="AC54" s="101"/>
      <c r="AD54" s="101"/>
      <c r="AE54" s="101"/>
      <c r="AF54" s="101"/>
      <c r="AG54" s="101"/>
      <c r="AH54" s="101"/>
      <c r="AI54" s="101"/>
      <c r="AJ54" s="101"/>
      <c r="AK54" s="102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1"/>
      <c r="C55" s="101"/>
      <c r="D55" s="101"/>
      <c r="E55" s="101"/>
      <c r="F55" s="101"/>
      <c r="G55" s="101"/>
      <c r="H55" s="101"/>
      <c r="I55" s="101"/>
      <c r="J55" s="101"/>
      <c r="K55" s="101"/>
      <c r="L55" s="101"/>
      <c r="M55" s="101"/>
      <c r="N55" s="102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1"/>
      <c r="Z55" s="101"/>
      <c r="AA55" s="101"/>
      <c r="AB55" s="101"/>
      <c r="AC55" s="101"/>
      <c r="AD55" s="101"/>
      <c r="AE55" s="101"/>
      <c r="AF55" s="101"/>
      <c r="AG55" s="101"/>
      <c r="AH55" s="101"/>
      <c r="AI55" s="101"/>
      <c r="AJ55" s="101"/>
      <c r="AK55" s="102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1"/>
      <c r="C56" s="101"/>
      <c r="D56" s="101"/>
      <c r="E56" s="101"/>
      <c r="F56" s="101"/>
      <c r="G56" s="101"/>
      <c r="H56" s="101"/>
      <c r="I56" s="101"/>
      <c r="J56" s="101"/>
      <c r="K56" s="101"/>
      <c r="L56" s="101"/>
      <c r="M56" s="101"/>
      <c r="N56" s="102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1"/>
      <c r="Z56" s="101"/>
      <c r="AA56" s="101"/>
      <c r="AB56" s="101"/>
      <c r="AC56" s="101"/>
      <c r="AD56" s="101"/>
      <c r="AE56" s="101"/>
      <c r="AF56" s="101"/>
      <c r="AG56" s="101"/>
      <c r="AH56" s="101"/>
      <c r="AI56" s="101"/>
      <c r="AJ56" s="101"/>
      <c r="AK56" s="102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1"/>
      <c r="C57" s="101"/>
      <c r="D57" s="101"/>
      <c r="E57" s="101"/>
      <c r="F57" s="101"/>
      <c r="G57" s="101"/>
      <c r="H57" s="101"/>
      <c r="I57" s="101"/>
      <c r="J57" s="101"/>
      <c r="K57" s="101"/>
      <c r="L57" s="101"/>
      <c r="M57" s="101"/>
      <c r="N57" s="102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1"/>
      <c r="Z57" s="101"/>
      <c r="AA57" s="101"/>
      <c r="AB57" s="101"/>
      <c r="AC57" s="101"/>
      <c r="AD57" s="101"/>
      <c r="AE57" s="101"/>
      <c r="AF57" s="101"/>
      <c r="AG57" s="101"/>
      <c r="AH57" s="101"/>
      <c r="AI57" s="101"/>
      <c r="AJ57" s="101"/>
      <c r="AK57" s="102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03"/>
      <c r="C59" s="103"/>
      <c r="D59" s="103"/>
      <c r="E59" s="103"/>
      <c r="F59" s="103"/>
      <c r="G59" s="103"/>
      <c r="H59" s="103"/>
      <c r="I59" s="103"/>
      <c r="J59" s="103"/>
      <c r="K59" s="103"/>
      <c r="L59" s="103"/>
      <c r="M59" s="103"/>
      <c r="N59" s="104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03"/>
      <c r="Z59" s="103"/>
      <c r="AA59" s="103"/>
      <c r="AB59" s="103"/>
      <c r="AC59" s="103"/>
      <c r="AD59" s="103"/>
      <c r="AE59" s="103"/>
      <c r="AF59" s="103"/>
      <c r="AG59" s="103"/>
      <c r="AH59" s="103"/>
      <c r="AI59" s="103"/>
      <c r="AJ59" s="103"/>
      <c r="AK59" s="104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03"/>
      <c r="Z60" s="103"/>
      <c r="AA60" s="103"/>
      <c r="AB60" s="103"/>
      <c r="AC60" s="103"/>
      <c r="AD60" s="103"/>
      <c r="AE60" s="103"/>
      <c r="AF60" s="103"/>
      <c r="AG60" s="103"/>
      <c r="AH60" s="103"/>
      <c r="AI60" s="103"/>
      <c r="AJ60" s="103"/>
      <c r="AK60" s="104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03"/>
      <c r="C61" s="103"/>
      <c r="D61" s="103"/>
      <c r="E61" s="103"/>
      <c r="F61" s="103"/>
      <c r="G61" s="103"/>
      <c r="H61" s="103"/>
      <c r="I61" s="103"/>
      <c r="J61" s="103"/>
      <c r="K61" s="103"/>
      <c r="L61" s="103"/>
      <c r="M61" s="103"/>
      <c r="N61" s="104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03"/>
      <c r="Z61" s="103"/>
      <c r="AA61" s="103"/>
      <c r="AB61" s="103"/>
      <c r="AC61" s="103"/>
      <c r="AD61" s="103"/>
      <c r="AE61" s="103"/>
      <c r="AF61" s="103"/>
      <c r="AG61" s="103"/>
      <c r="AH61" s="103"/>
      <c r="AI61" s="103"/>
      <c r="AJ61" s="103"/>
      <c r="AK61" s="104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03"/>
      <c r="C62" s="103"/>
      <c r="D62" s="103"/>
      <c r="E62" s="103"/>
      <c r="F62" s="103"/>
      <c r="G62" s="103"/>
      <c r="H62" s="103"/>
      <c r="I62" s="103"/>
      <c r="J62" s="103"/>
      <c r="K62" s="103"/>
      <c r="L62" s="103"/>
      <c r="M62" s="103"/>
      <c r="N62" s="104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03"/>
      <c r="Z62" s="103"/>
      <c r="AA62" s="103"/>
      <c r="AB62" s="103"/>
      <c r="AC62" s="103"/>
      <c r="AD62" s="103"/>
      <c r="AE62" s="103"/>
      <c r="AF62" s="103"/>
      <c r="AG62" s="103"/>
      <c r="AH62" s="103"/>
      <c r="AI62" s="103"/>
      <c r="AJ62" s="103"/>
      <c r="AK62" s="104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05"/>
      <c r="C63" s="105"/>
      <c r="D63" s="105"/>
      <c r="E63" s="105"/>
      <c r="F63" s="105"/>
      <c r="G63" s="105"/>
      <c r="H63" s="105"/>
      <c r="I63" s="105"/>
      <c r="J63" s="105"/>
      <c r="K63" s="105"/>
      <c r="L63" s="105"/>
      <c r="M63" s="105"/>
      <c r="N63" s="105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05"/>
      <c r="Z63" s="105"/>
      <c r="AA63" s="105"/>
      <c r="AB63" s="105"/>
      <c r="AC63" s="105"/>
      <c r="AD63" s="105"/>
      <c r="AE63" s="105"/>
      <c r="AF63" s="105"/>
      <c r="AG63" s="105"/>
      <c r="AH63" s="105"/>
      <c r="AI63" s="105"/>
      <c r="AJ63" s="105"/>
      <c r="AK63" s="105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4:N55"/>
    <mergeCell ref="Y54:AK55"/>
    <mergeCell ref="B56:N57"/>
    <mergeCell ref="Y56:AK57"/>
    <mergeCell ref="B59:N63"/>
    <mergeCell ref="Y59:AK63"/>
    <mergeCell ref="A44:W45"/>
    <mergeCell ref="X44:AT45"/>
    <mergeCell ref="B47:N51"/>
    <mergeCell ref="Y47:AK51"/>
    <mergeCell ref="B52:N53"/>
    <mergeCell ref="Y52:AK53"/>
    <mergeCell ref="B33:N34"/>
    <mergeCell ref="Y33:AK34"/>
    <mergeCell ref="B35:N36"/>
    <mergeCell ref="Y35:AK36"/>
    <mergeCell ref="B38:N42"/>
    <mergeCell ref="Y38:AK42"/>
    <mergeCell ref="A23:W24"/>
    <mergeCell ref="X23:AT24"/>
    <mergeCell ref="B26:N30"/>
    <mergeCell ref="Y26:AK30"/>
    <mergeCell ref="B31:N32"/>
    <mergeCell ref="Y31:AK32"/>
    <mergeCell ref="B12:N13"/>
    <mergeCell ref="Y12:AK13"/>
    <mergeCell ref="B14:N15"/>
    <mergeCell ref="Y14:AK15"/>
    <mergeCell ref="B17:N21"/>
    <mergeCell ref="Y17:AK21"/>
    <mergeCell ref="A2:W4"/>
    <mergeCell ref="X2:AT3"/>
    <mergeCell ref="B5:N9"/>
    <mergeCell ref="Y5:AK9"/>
    <mergeCell ref="B10:N11"/>
    <mergeCell ref="Y10:AK11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449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450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449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450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451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452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451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452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453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450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453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450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454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455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454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455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456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450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456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450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457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458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457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458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459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460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459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460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461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450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461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450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462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450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462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450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463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464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463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464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465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466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465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466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467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450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467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450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468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458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468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458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469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450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469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450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470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471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470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471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472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473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472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473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474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450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474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450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475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450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475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450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476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452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476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452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477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478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477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478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479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450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479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450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480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481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480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481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482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483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482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483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484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450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484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450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15" t="s">
        <v>128</v>
      </c>
      <c r="B1" s="115"/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/>
      <c r="AZ1" s="115"/>
      <c r="BA1" s="115"/>
      <c r="BB1" s="115"/>
      <c r="BC1" s="115"/>
      <c r="BD1" s="115"/>
      <c r="BE1" s="115"/>
      <c r="BF1" s="115"/>
      <c r="BG1" s="115"/>
      <c r="BH1" s="115"/>
      <c r="BI1" s="115"/>
      <c r="BJ1" s="115"/>
      <c r="BK1" s="115"/>
      <c r="BL1" s="115"/>
      <c r="BM1" s="115"/>
      <c r="BN1" s="115"/>
      <c r="BO1" s="115"/>
      <c r="BP1" s="115"/>
      <c r="BQ1" s="115"/>
      <c r="BR1" s="115"/>
      <c r="BS1" s="115"/>
      <c r="BT1" s="115"/>
      <c r="BU1" s="115"/>
      <c r="BV1" s="115"/>
      <c r="BW1" s="115"/>
      <c r="BX1" s="115"/>
      <c r="BY1" s="115"/>
      <c r="BZ1" s="115"/>
      <c r="CA1" s="115"/>
      <c r="CB1" s="115"/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/>
      <c r="DH1" s="115"/>
      <c r="DI1" s="115"/>
      <c r="DJ1" s="115"/>
      <c r="DK1" s="115"/>
      <c r="DL1" s="115"/>
      <c r="DM1" s="115"/>
      <c r="DN1" s="115"/>
      <c r="DO1" s="115"/>
      <c r="DP1" s="115"/>
      <c r="DQ1" s="115"/>
      <c r="DR1" s="115"/>
      <c r="DS1" s="115"/>
      <c r="DT1" s="115"/>
      <c r="DU1" s="115"/>
      <c r="DV1" s="115"/>
      <c r="DW1" s="115"/>
      <c r="DX1" s="115"/>
      <c r="DY1" s="115"/>
      <c r="DZ1" s="115"/>
      <c r="EA1" s="115"/>
      <c r="EB1" s="115"/>
      <c r="EC1" s="115"/>
      <c r="ED1" s="115"/>
      <c r="EE1" s="115"/>
      <c r="EF1" s="115"/>
      <c r="EG1" s="115"/>
      <c r="EH1" s="115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15" t="s">
        <v>129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  <c r="AE2" s="115"/>
      <c r="AF2" s="115"/>
      <c r="AG2" s="115"/>
      <c r="AH2" s="115"/>
      <c r="AI2" s="115"/>
      <c r="AJ2" s="115"/>
      <c r="AK2" s="115"/>
      <c r="AL2" s="115"/>
      <c r="AM2" s="115"/>
      <c r="AN2" s="115"/>
      <c r="AO2" s="115"/>
      <c r="AP2" s="115"/>
      <c r="AQ2" s="115"/>
      <c r="AR2" s="115"/>
      <c r="AS2" s="115"/>
      <c r="AT2" s="115"/>
      <c r="AU2" s="115"/>
      <c r="AV2" s="115"/>
      <c r="AW2" s="115"/>
      <c r="AX2" s="115"/>
      <c r="AY2" s="115"/>
      <c r="AZ2" s="115"/>
      <c r="BA2" s="115"/>
      <c r="BB2" s="115"/>
      <c r="BC2" s="115"/>
      <c r="BD2" s="115"/>
      <c r="BE2" s="115"/>
      <c r="BF2" s="115"/>
      <c r="BG2" s="115"/>
      <c r="BH2" s="115"/>
      <c r="BI2" s="115"/>
      <c r="BJ2" s="115"/>
      <c r="BK2" s="115"/>
      <c r="BL2" s="115"/>
      <c r="BM2" s="115"/>
      <c r="BN2" s="115"/>
      <c r="BO2" s="115"/>
      <c r="BP2" s="115"/>
      <c r="BQ2" s="115"/>
      <c r="BR2" s="115"/>
      <c r="BS2" s="115"/>
      <c r="BT2" s="115"/>
      <c r="BU2" s="115"/>
      <c r="BV2" s="115"/>
      <c r="BW2" s="115"/>
      <c r="BX2" s="115"/>
      <c r="BY2" s="115"/>
      <c r="BZ2" s="115"/>
      <c r="CA2" s="115"/>
      <c r="CB2" s="115"/>
      <c r="CC2" s="115"/>
      <c r="CD2" s="115"/>
      <c r="CE2" s="115"/>
      <c r="CF2" s="115"/>
      <c r="CG2" s="115"/>
      <c r="CH2" s="115"/>
      <c r="CI2" s="115"/>
      <c r="CJ2" s="115"/>
      <c r="CK2" s="115"/>
      <c r="CL2" s="115"/>
      <c r="CM2" s="115"/>
      <c r="CN2" s="115"/>
      <c r="CO2" s="115"/>
      <c r="CP2" s="115"/>
      <c r="CQ2" s="115"/>
      <c r="CR2" s="115"/>
      <c r="CS2" s="115"/>
      <c r="CT2" s="115"/>
      <c r="CU2" s="115"/>
      <c r="CV2" s="115"/>
      <c r="CW2" s="115"/>
      <c r="CX2" s="115"/>
      <c r="CY2" s="115"/>
      <c r="CZ2" s="115"/>
      <c r="DA2" s="115"/>
      <c r="DB2" s="115"/>
      <c r="DC2" s="115"/>
      <c r="DD2" s="115"/>
      <c r="DE2" s="115"/>
      <c r="DF2" s="115"/>
      <c r="DG2" s="115"/>
      <c r="DH2" s="115"/>
      <c r="DI2" s="115"/>
      <c r="DJ2" s="115"/>
      <c r="DK2" s="115"/>
      <c r="DL2" s="115"/>
      <c r="DM2" s="115"/>
      <c r="DN2" s="115"/>
      <c r="DO2" s="115"/>
      <c r="DP2" s="115"/>
      <c r="DQ2" s="115"/>
      <c r="DR2" s="115"/>
      <c r="DS2" s="115"/>
      <c r="DT2" s="115"/>
      <c r="DU2" s="115"/>
      <c r="DV2" s="115"/>
      <c r="DW2" s="115"/>
      <c r="DX2" s="115"/>
      <c r="DY2" s="115"/>
      <c r="DZ2" s="115"/>
      <c r="EA2" s="115"/>
      <c r="EB2" s="115"/>
      <c r="EC2" s="115"/>
      <c r="ED2" s="115"/>
      <c r="EE2" s="115"/>
      <c r="EF2" s="115"/>
      <c r="EG2" s="115"/>
      <c r="EH2" s="115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37" t="s">
        <v>134</v>
      </c>
      <c r="BO5" s="46"/>
      <c r="BP5" s="52"/>
      <c r="BQ5" s="52"/>
      <c r="BR5" s="52"/>
      <c r="BZ5" s="120" t="s">
        <v>153</v>
      </c>
      <c r="CA5" s="121"/>
      <c r="CB5" s="121"/>
      <c r="CC5" s="121"/>
      <c r="CD5" s="121"/>
      <c r="CE5" s="121"/>
      <c r="CF5" s="121"/>
      <c r="CG5" s="121"/>
      <c r="CH5" s="121"/>
      <c r="CI5" s="122"/>
      <c r="CJ5" s="120" t="s">
        <v>154</v>
      </c>
      <c r="CK5" s="121"/>
      <c r="CL5" s="121"/>
      <c r="CM5" s="121"/>
      <c r="CN5" s="121"/>
      <c r="CO5" s="121"/>
      <c r="CP5" s="122"/>
      <c r="CQ5" s="120" t="s">
        <v>155</v>
      </c>
      <c r="CR5" s="121"/>
      <c r="CS5" s="121"/>
      <c r="CT5" s="121"/>
      <c r="CU5" s="121"/>
      <c r="CV5" s="121"/>
      <c r="CW5" s="121"/>
      <c r="CX5" s="121"/>
      <c r="CY5" s="122"/>
      <c r="CZ5" s="120" t="s">
        <v>156</v>
      </c>
      <c r="DA5" s="121"/>
      <c r="DB5" s="121"/>
      <c r="DC5" s="121"/>
      <c r="DD5" s="121"/>
      <c r="DE5" s="121"/>
      <c r="DF5" s="121"/>
      <c r="DG5" s="121"/>
      <c r="DH5" s="122"/>
      <c r="DI5" s="120" t="s">
        <v>157</v>
      </c>
      <c r="DJ5" s="121"/>
      <c r="DK5" s="121"/>
      <c r="DL5" s="121"/>
      <c r="DM5" s="121"/>
      <c r="DN5" s="121"/>
      <c r="DO5" s="121"/>
      <c r="DP5" s="122"/>
      <c r="DQ5" s="120" t="s">
        <v>158</v>
      </c>
      <c r="DR5" s="121"/>
      <c r="DS5" s="121"/>
      <c r="DT5" s="121"/>
      <c r="DU5" s="121"/>
      <c r="DV5" s="121"/>
      <c r="DW5" s="121"/>
      <c r="DX5" s="122"/>
      <c r="DY5" s="120" t="s">
        <v>159</v>
      </c>
      <c r="DZ5" s="121"/>
      <c r="EA5" s="121"/>
      <c r="EB5" s="121"/>
      <c r="EC5" s="121"/>
      <c r="ED5" s="121"/>
      <c r="EE5" s="121"/>
      <c r="EF5" s="121"/>
      <c r="EG5" s="121"/>
      <c r="EH5" s="122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23"/>
      <c r="CA6" s="124"/>
      <c r="CB6" s="124"/>
      <c r="CC6" s="124"/>
      <c r="CD6" s="124"/>
      <c r="CE6" s="124"/>
      <c r="CF6" s="124"/>
      <c r="CG6" s="124"/>
      <c r="CH6" s="124"/>
      <c r="CI6" s="125"/>
      <c r="CJ6" s="123"/>
      <c r="CK6" s="124"/>
      <c r="CL6" s="124"/>
      <c r="CM6" s="124"/>
      <c r="CN6" s="124"/>
      <c r="CO6" s="124"/>
      <c r="CP6" s="125"/>
      <c r="CQ6" s="123"/>
      <c r="CR6" s="124"/>
      <c r="CS6" s="124"/>
      <c r="CT6" s="124"/>
      <c r="CU6" s="124"/>
      <c r="CV6" s="124"/>
      <c r="CW6" s="124"/>
      <c r="CX6" s="124"/>
      <c r="CY6" s="125"/>
      <c r="CZ6" s="123"/>
      <c r="DA6" s="124"/>
      <c r="DB6" s="124"/>
      <c r="DC6" s="124"/>
      <c r="DD6" s="124"/>
      <c r="DE6" s="124"/>
      <c r="DF6" s="124"/>
      <c r="DG6" s="124"/>
      <c r="DH6" s="125"/>
      <c r="DI6" s="123"/>
      <c r="DJ6" s="124"/>
      <c r="DK6" s="124"/>
      <c r="DL6" s="124"/>
      <c r="DM6" s="124"/>
      <c r="DN6" s="124"/>
      <c r="DO6" s="124"/>
      <c r="DP6" s="125"/>
      <c r="DQ6" s="123"/>
      <c r="DR6" s="124"/>
      <c r="DS6" s="124"/>
      <c r="DT6" s="124"/>
      <c r="DU6" s="124"/>
      <c r="DV6" s="124"/>
      <c r="DW6" s="124"/>
      <c r="DX6" s="125"/>
      <c r="DY6" s="123"/>
      <c r="DZ6" s="124"/>
      <c r="EA6" s="124"/>
      <c r="EB6" s="124"/>
      <c r="EC6" s="124"/>
      <c r="ED6" s="124"/>
      <c r="EE6" s="124"/>
      <c r="EF6" s="124"/>
      <c r="EG6" s="124"/>
      <c r="EH6" s="125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33"/>
      <c r="R7" s="133"/>
      <c r="S7" s="133"/>
      <c r="T7" s="133"/>
      <c r="U7" s="133"/>
      <c r="V7" s="133"/>
      <c r="W7" s="133"/>
      <c r="X7" s="133"/>
      <c r="Y7" s="133"/>
      <c r="Z7" s="133"/>
      <c r="AA7" s="133"/>
      <c r="AB7" s="133"/>
      <c r="AC7" s="133"/>
      <c r="AD7" s="133"/>
      <c r="AE7" s="133"/>
      <c r="AF7" s="133"/>
      <c r="AG7" s="133"/>
      <c r="AH7" s="133"/>
      <c r="AI7" s="133"/>
      <c r="AJ7" s="133"/>
      <c r="AK7" s="133"/>
      <c r="AL7" s="133"/>
      <c r="AM7" s="133"/>
      <c r="AN7" s="133"/>
      <c r="AO7" s="133"/>
      <c r="AP7" s="133"/>
      <c r="AQ7" s="133"/>
      <c r="AR7" s="133"/>
      <c r="AS7" s="133"/>
      <c r="AT7" s="133"/>
      <c r="AU7" s="133"/>
      <c r="AV7" s="133"/>
      <c r="AW7" s="133"/>
      <c r="AX7" s="133"/>
      <c r="AY7" s="133"/>
      <c r="AZ7" s="133"/>
      <c r="BA7" s="133"/>
      <c r="BB7" s="133"/>
      <c r="BC7" s="133"/>
      <c r="BD7" s="133"/>
      <c r="BE7" s="133"/>
      <c r="BF7" s="133"/>
      <c r="BG7" s="133"/>
      <c r="BH7" s="133"/>
      <c r="BO7" s="46"/>
      <c r="BZ7" s="123"/>
      <c r="CA7" s="124"/>
      <c r="CB7" s="124"/>
      <c r="CC7" s="124"/>
      <c r="CD7" s="124"/>
      <c r="CE7" s="124"/>
      <c r="CF7" s="124"/>
      <c r="CG7" s="124"/>
      <c r="CH7" s="124"/>
      <c r="CI7" s="125"/>
      <c r="CJ7" s="123"/>
      <c r="CK7" s="124"/>
      <c r="CL7" s="124"/>
      <c r="CM7" s="124"/>
      <c r="CN7" s="124"/>
      <c r="CO7" s="124"/>
      <c r="CP7" s="125"/>
      <c r="CQ7" s="123"/>
      <c r="CR7" s="124"/>
      <c r="CS7" s="124"/>
      <c r="CT7" s="124"/>
      <c r="CU7" s="124"/>
      <c r="CV7" s="124"/>
      <c r="CW7" s="124"/>
      <c r="CX7" s="124"/>
      <c r="CY7" s="125"/>
      <c r="CZ7" s="123"/>
      <c r="DA7" s="124"/>
      <c r="DB7" s="124"/>
      <c r="DC7" s="124"/>
      <c r="DD7" s="124"/>
      <c r="DE7" s="124"/>
      <c r="DF7" s="124"/>
      <c r="DG7" s="124"/>
      <c r="DH7" s="125"/>
      <c r="DI7" s="123"/>
      <c r="DJ7" s="124"/>
      <c r="DK7" s="124"/>
      <c r="DL7" s="124"/>
      <c r="DM7" s="124"/>
      <c r="DN7" s="124"/>
      <c r="DO7" s="124"/>
      <c r="DP7" s="125"/>
      <c r="DQ7" s="123"/>
      <c r="DR7" s="124"/>
      <c r="DS7" s="124"/>
      <c r="DT7" s="124"/>
      <c r="DU7" s="124"/>
      <c r="DV7" s="124"/>
      <c r="DW7" s="124"/>
      <c r="DX7" s="125"/>
      <c r="DY7" s="123"/>
      <c r="DZ7" s="124"/>
      <c r="EA7" s="124"/>
      <c r="EB7" s="124"/>
      <c r="EC7" s="124"/>
      <c r="ED7" s="124"/>
      <c r="EE7" s="124"/>
      <c r="EF7" s="124"/>
      <c r="EG7" s="124"/>
      <c r="EH7" s="125"/>
    </row>
    <row r="8" spans="1:167" ht="11.25" customHeight="1" x14ac:dyDescent="0.2">
      <c r="A8" s="154"/>
      <c r="B8" s="154"/>
      <c r="C8" s="154"/>
      <c r="D8" s="154"/>
      <c r="E8" s="154"/>
      <c r="F8" s="154"/>
      <c r="G8" s="154"/>
      <c r="H8" s="154"/>
      <c r="I8" s="154"/>
      <c r="J8" s="154"/>
      <c r="K8" s="154"/>
      <c r="L8" s="154"/>
      <c r="M8" s="154"/>
      <c r="N8" s="154"/>
      <c r="O8" s="154"/>
      <c r="P8" s="154"/>
      <c r="Q8" s="154"/>
      <c r="R8" s="154"/>
      <c r="S8" s="154"/>
      <c r="T8" s="154"/>
      <c r="U8" s="154"/>
      <c r="V8" s="154"/>
      <c r="W8" s="154"/>
      <c r="X8" s="154"/>
      <c r="Y8" s="154"/>
      <c r="Z8" s="154"/>
      <c r="AA8" s="154"/>
      <c r="AB8" s="154"/>
      <c r="AC8" s="154"/>
      <c r="AD8" s="154"/>
      <c r="AE8" s="154"/>
      <c r="AF8" s="154"/>
      <c r="AG8" s="154"/>
      <c r="AH8" s="154"/>
      <c r="AI8" s="154"/>
      <c r="AJ8" s="154"/>
      <c r="AK8" s="154"/>
      <c r="AL8" s="154"/>
      <c r="AM8" s="154"/>
      <c r="AN8" s="154"/>
      <c r="AO8" s="154"/>
      <c r="AP8" s="154"/>
      <c r="AQ8" s="154"/>
      <c r="AR8" s="154"/>
      <c r="AS8" s="154"/>
      <c r="AT8" s="154"/>
      <c r="AU8" s="154"/>
      <c r="AV8" s="154"/>
      <c r="AW8" s="154"/>
      <c r="AX8" s="154"/>
      <c r="AY8" s="154"/>
      <c r="AZ8" s="154"/>
      <c r="BA8" s="154"/>
      <c r="BB8" s="154"/>
      <c r="BC8" s="154"/>
      <c r="BD8" s="154"/>
      <c r="BE8" s="154"/>
      <c r="BF8" s="154"/>
      <c r="BG8" s="154"/>
      <c r="BH8" s="154"/>
      <c r="BO8" s="46"/>
      <c r="BZ8" s="126"/>
      <c r="CA8" s="127"/>
      <c r="CB8" s="127"/>
      <c r="CC8" s="127"/>
      <c r="CD8" s="127"/>
      <c r="CE8" s="127"/>
      <c r="CF8" s="127"/>
      <c r="CG8" s="127"/>
      <c r="CH8" s="127"/>
      <c r="CI8" s="128"/>
      <c r="CJ8" s="126"/>
      <c r="CK8" s="127"/>
      <c r="CL8" s="127"/>
      <c r="CM8" s="127"/>
      <c r="CN8" s="127"/>
      <c r="CO8" s="127"/>
      <c r="CP8" s="128"/>
      <c r="CQ8" s="126"/>
      <c r="CR8" s="127"/>
      <c r="CS8" s="127"/>
      <c r="CT8" s="127"/>
      <c r="CU8" s="127"/>
      <c r="CV8" s="127"/>
      <c r="CW8" s="127"/>
      <c r="CX8" s="127"/>
      <c r="CY8" s="128"/>
      <c r="CZ8" s="126"/>
      <c r="DA8" s="127"/>
      <c r="DB8" s="127"/>
      <c r="DC8" s="127"/>
      <c r="DD8" s="127"/>
      <c r="DE8" s="127"/>
      <c r="DF8" s="127"/>
      <c r="DG8" s="127"/>
      <c r="DH8" s="128"/>
      <c r="DI8" s="126"/>
      <c r="DJ8" s="127"/>
      <c r="DK8" s="127"/>
      <c r="DL8" s="127"/>
      <c r="DM8" s="127"/>
      <c r="DN8" s="127"/>
      <c r="DO8" s="127"/>
      <c r="DP8" s="128"/>
      <c r="DQ8" s="126"/>
      <c r="DR8" s="127"/>
      <c r="DS8" s="127"/>
      <c r="DT8" s="127"/>
      <c r="DU8" s="127"/>
      <c r="DV8" s="127"/>
      <c r="DW8" s="127"/>
      <c r="DX8" s="128"/>
      <c r="DY8" s="126"/>
      <c r="DZ8" s="127"/>
      <c r="EA8" s="127"/>
      <c r="EB8" s="127"/>
      <c r="EC8" s="127"/>
      <c r="ED8" s="127"/>
      <c r="EE8" s="127"/>
      <c r="EF8" s="127"/>
      <c r="EG8" s="127"/>
      <c r="EH8" s="128"/>
    </row>
    <row r="9" spans="1:167" ht="15" customHeight="1" x14ac:dyDescent="0.2">
      <c r="A9" s="134" t="s">
        <v>143</v>
      </c>
      <c r="B9" s="134"/>
      <c r="C9" s="134"/>
      <c r="D9" s="134"/>
      <c r="E9" s="134"/>
      <c r="F9" s="134"/>
      <c r="G9" s="134"/>
      <c r="H9" s="134"/>
      <c r="I9" s="134"/>
      <c r="J9" s="134"/>
      <c r="K9" s="134"/>
      <c r="L9" s="134"/>
      <c r="M9" s="134"/>
      <c r="N9" s="134"/>
      <c r="O9" s="134"/>
      <c r="P9" s="134"/>
      <c r="Q9" s="134"/>
      <c r="R9" s="132"/>
      <c r="S9" s="132"/>
      <c r="T9" s="132"/>
      <c r="U9" s="132"/>
      <c r="V9" s="132"/>
      <c r="W9" s="132"/>
      <c r="X9" s="132"/>
      <c r="Y9" s="132"/>
      <c r="Z9" s="37" t="s">
        <v>144</v>
      </c>
      <c r="AG9" s="134" t="s">
        <v>145</v>
      </c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2"/>
      <c r="BC9" s="132"/>
      <c r="BD9" s="132"/>
      <c r="BE9" s="132"/>
      <c r="BF9" s="37" t="s">
        <v>146</v>
      </c>
      <c r="BO9" s="46"/>
      <c r="BZ9" s="129">
        <v>1</v>
      </c>
      <c r="CA9" s="130"/>
      <c r="CB9" s="130"/>
      <c r="CC9" s="130"/>
      <c r="CD9" s="130"/>
      <c r="CE9" s="130"/>
      <c r="CF9" s="130"/>
      <c r="CG9" s="130"/>
      <c r="CH9" s="130"/>
      <c r="CI9" s="131"/>
      <c r="CJ9" s="129">
        <v>2</v>
      </c>
      <c r="CK9" s="130"/>
      <c r="CL9" s="130"/>
      <c r="CM9" s="130"/>
      <c r="CN9" s="130"/>
      <c r="CO9" s="130"/>
      <c r="CP9" s="131"/>
      <c r="CQ9" s="129">
        <v>3</v>
      </c>
      <c r="CR9" s="130"/>
      <c r="CS9" s="130"/>
      <c r="CT9" s="130"/>
      <c r="CU9" s="130"/>
      <c r="CV9" s="130"/>
      <c r="CW9" s="130"/>
      <c r="CX9" s="130"/>
      <c r="CY9" s="131"/>
      <c r="CZ9" s="129">
        <v>4</v>
      </c>
      <c r="DA9" s="130"/>
      <c r="DB9" s="130"/>
      <c r="DC9" s="130"/>
      <c r="DD9" s="130"/>
      <c r="DE9" s="130"/>
      <c r="DF9" s="130"/>
      <c r="DG9" s="130"/>
      <c r="DH9" s="131"/>
      <c r="DI9" s="129">
        <v>5</v>
      </c>
      <c r="DJ9" s="130"/>
      <c r="DK9" s="130"/>
      <c r="DL9" s="130"/>
      <c r="DM9" s="130"/>
      <c r="DN9" s="130"/>
      <c r="DO9" s="130"/>
      <c r="DP9" s="131"/>
      <c r="DQ9" s="129">
        <v>6</v>
      </c>
      <c r="DR9" s="130"/>
      <c r="DS9" s="130"/>
      <c r="DT9" s="130"/>
      <c r="DU9" s="130"/>
      <c r="DV9" s="130"/>
      <c r="DW9" s="130"/>
      <c r="DX9" s="131"/>
      <c r="DY9" s="129">
        <v>7</v>
      </c>
      <c r="DZ9" s="130"/>
      <c r="EA9" s="130"/>
      <c r="EB9" s="130"/>
      <c r="EC9" s="130"/>
      <c r="ED9" s="130"/>
      <c r="EE9" s="130"/>
      <c r="EF9" s="130"/>
      <c r="EG9" s="130"/>
      <c r="EH9" s="131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55" t="s">
        <v>160</v>
      </c>
      <c r="CA10" s="156"/>
      <c r="CB10" s="156"/>
      <c r="CC10" s="156"/>
      <c r="CD10" s="156"/>
      <c r="CE10" s="156"/>
      <c r="CF10" s="156"/>
      <c r="CG10" s="156"/>
      <c r="CH10" s="156"/>
      <c r="CI10" s="157"/>
      <c r="CJ10" s="158" t="s">
        <v>161</v>
      </c>
      <c r="CK10" s="159"/>
      <c r="CL10" s="159"/>
      <c r="CM10" s="159"/>
      <c r="CN10" s="159"/>
      <c r="CO10" s="159"/>
      <c r="CP10" s="160"/>
      <c r="CQ10" s="117"/>
      <c r="CR10" s="118"/>
      <c r="CS10" s="118"/>
      <c r="CT10" s="118"/>
      <c r="CU10" s="118"/>
      <c r="CV10" s="118"/>
      <c r="CW10" s="118"/>
      <c r="CX10" s="118"/>
      <c r="CY10" s="119"/>
      <c r="CZ10" s="117"/>
      <c r="DA10" s="118"/>
      <c r="DB10" s="118"/>
      <c r="DC10" s="118"/>
      <c r="DD10" s="118"/>
      <c r="DE10" s="118"/>
      <c r="DF10" s="118"/>
      <c r="DG10" s="118"/>
      <c r="DH10" s="119"/>
      <c r="DI10" s="117"/>
      <c r="DJ10" s="118"/>
      <c r="DK10" s="118"/>
      <c r="DL10" s="118"/>
      <c r="DM10" s="118"/>
      <c r="DN10" s="118"/>
      <c r="DO10" s="118"/>
      <c r="DP10" s="119"/>
      <c r="DQ10" s="117"/>
      <c r="DR10" s="118"/>
      <c r="DS10" s="118"/>
      <c r="DT10" s="118"/>
      <c r="DU10" s="118"/>
      <c r="DV10" s="118"/>
      <c r="DW10" s="118"/>
      <c r="DX10" s="119"/>
      <c r="DY10" s="117"/>
      <c r="DZ10" s="118"/>
      <c r="EA10" s="118"/>
      <c r="EB10" s="118"/>
      <c r="EC10" s="118"/>
      <c r="ED10" s="118"/>
      <c r="EE10" s="118"/>
      <c r="EF10" s="118"/>
      <c r="EG10" s="118"/>
      <c r="EH10" s="119"/>
    </row>
    <row r="11" spans="1:167" ht="18.75" customHeight="1" x14ac:dyDescent="0.2"/>
    <row r="12" spans="1:167" ht="21.75" customHeight="1" x14ac:dyDescent="0.2">
      <c r="C12" s="116" t="s">
        <v>162</v>
      </c>
      <c r="D12" s="116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  <c r="Q12" s="116"/>
      <c r="R12" s="116"/>
      <c r="S12" s="116"/>
      <c r="T12" s="116"/>
      <c r="U12" s="116"/>
      <c r="V12" s="116"/>
      <c r="W12" s="116"/>
      <c r="X12" s="116"/>
      <c r="Y12" s="116"/>
      <c r="Z12" s="116"/>
      <c r="AA12" s="116"/>
      <c r="AB12" s="116"/>
      <c r="AC12" s="116"/>
      <c r="AD12" s="116"/>
      <c r="AE12" s="116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  <c r="Q13" s="116"/>
      <c r="R13" s="116"/>
      <c r="S13" s="116"/>
      <c r="T13" s="116"/>
      <c r="U13" s="116"/>
      <c r="V13" s="116"/>
      <c r="W13" s="116"/>
      <c r="X13" s="116"/>
      <c r="Y13" s="116"/>
      <c r="Z13" s="116"/>
      <c r="AA13" s="116"/>
      <c r="AB13" s="116"/>
      <c r="AC13" s="116"/>
      <c r="AD13" s="116"/>
      <c r="AE13" s="116"/>
      <c r="AO13" s="120" t="s">
        <v>135</v>
      </c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2"/>
      <c r="BF13" s="120" t="s">
        <v>136</v>
      </c>
      <c r="BG13" s="121"/>
      <c r="BH13" s="121"/>
      <c r="BI13" s="121"/>
      <c r="BJ13" s="121"/>
      <c r="BK13" s="121"/>
      <c r="BL13" s="121"/>
      <c r="BM13" s="121"/>
      <c r="BN13" s="121"/>
      <c r="BO13" s="121"/>
      <c r="BP13" s="121"/>
      <c r="BQ13" s="121"/>
      <c r="BR13" s="121"/>
      <c r="BS13" s="121"/>
      <c r="BT13" s="121"/>
      <c r="BU13" s="121"/>
      <c r="BV13" s="121"/>
      <c r="BW13" s="121"/>
      <c r="BX13" s="121"/>
      <c r="BY13" s="121"/>
      <c r="BZ13" s="121"/>
      <c r="CA13" s="121"/>
      <c r="CB13" s="121"/>
      <c r="CC13" s="121"/>
      <c r="CD13" s="121"/>
      <c r="CE13" s="122"/>
      <c r="CF13" s="120" t="s">
        <v>137</v>
      </c>
      <c r="CG13" s="121"/>
      <c r="CH13" s="121"/>
      <c r="CI13" s="121"/>
      <c r="CJ13" s="121"/>
      <c r="CK13" s="121"/>
      <c r="CL13" s="121"/>
      <c r="CM13" s="121"/>
      <c r="CN13" s="121"/>
      <c r="CO13" s="121"/>
      <c r="CP13" s="121"/>
      <c r="CQ13" s="121"/>
      <c r="CR13" s="121"/>
      <c r="CS13" s="121"/>
      <c r="CT13" s="121"/>
      <c r="CU13" s="121"/>
      <c r="CV13" s="121"/>
      <c r="CW13" s="121"/>
      <c r="CX13" s="121"/>
      <c r="CY13" s="122"/>
      <c r="CZ13" s="120" t="s">
        <v>138</v>
      </c>
      <c r="DA13" s="121"/>
      <c r="DB13" s="121"/>
      <c r="DC13" s="121"/>
      <c r="DD13" s="121"/>
      <c r="DE13" s="121"/>
      <c r="DF13" s="121"/>
      <c r="DG13" s="121"/>
      <c r="DH13" s="121"/>
      <c r="DI13" s="121"/>
      <c r="DJ13" s="121"/>
      <c r="DK13" s="121"/>
      <c r="DL13" s="121"/>
      <c r="DM13" s="121"/>
      <c r="DN13" s="121"/>
      <c r="DO13" s="121"/>
      <c r="DP13" s="121"/>
      <c r="DQ13" s="122"/>
      <c r="DR13" s="120" t="s">
        <v>139</v>
      </c>
      <c r="DS13" s="121"/>
      <c r="DT13" s="121"/>
      <c r="DU13" s="121"/>
      <c r="DV13" s="121"/>
      <c r="DW13" s="121"/>
      <c r="DX13" s="121"/>
      <c r="DY13" s="121"/>
      <c r="DZ13" s="121"/>
      <c r="EA13" s="121"/>
      <c r="EB13" s="121"/>
      <c r="EC13" s="121"/>
      <c r="ED13" s="121"/>
      <c r="EE13" s="121"/>
      <c r="EF13" s="121"/>
      <c r="EG13" s="121"/>
      <c r="EH13" s="122"/>
    </row>
    <row r="14" spans="1:167" ht="12" customHeight="1" x14ac:dyDescent="0.2">
      <c r="A14" s="44"/>
      <c r="C14" s="116"/>
      <c r="D14" s="116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  <c r="Q14" s="116"/>
      <c r="R14" s="116"/>
      <c r="S14" s="116"/>
      <c r="T14" s="116"/>
      <c r="U14" s="116"/>
      <c r="V14" s="116"/>
      <c r="W14" s="116"/>
      <c r="X14" s="116"/>
      <c r="Y14" s="116"/>
      <c r="Z14" s="116"/>
      <c r="AA14" s="116"/>
      <c r="AB14" s="116"/>
      <c r="AC14" s="116"/>
      <c r="AD14" s="116"/>
      <c r="AE14" s="116"/>
      <c r="AO14" s="123"/>
      <c r="AP14" s="124"/>
      <c r="AQ14" s="124"/>
      <c r="AR14" s="124"/>
      <c r="AS14" s="124"/>
      <c r="AT14" s="124"/>
      <c r="AU14" s="124"/>
      <c r="AV14" s="124"/>
      <c r="AW14" s="124"/>
      <c r="AX14" s="124"/>
      <c r="AY14" s="124"/>
      <c r="AZ14" s="124"/>
      <c r="BA14" s="124"/>
      <c r="BB14" s="124"/>
      <c r="BC14" s="124"/>
      <c r="BD14" s="124"/>
      <c r="BE14" s="125"/>
      <c r="BF14" s="123"/>
      <c r="BG14" s="124"/>
      <c r="BH14" s="124"/>
      <c r="BI14" s="124"/>
      <c r="BJ14" s="124"/>
      <c r="BK14" s="124"/>
      <c r="BL14" s="124"/>
      <c r="BM14" s="124"/>
      <c r="BN14" s="124"/>
      <c r="BO14" s="124"/>
      <c r="BP14" s="124"/>
      <c r="BQ14" s="124"/>
      <c r="BR14" s="124"/>
      <c r="BS14" s="124"/>
      <c r="BT14" s="124"/>
      <c r="BU14" s="124"/>
      <c r="BV14" s="124"/>
      <c r="BW14" s="124"/>
      <c r="BX14" s="124"/>
      <c r="BY14" s="124"/>
      <c r="BZ14" s="124"/>
      <c r="CA14" s="124"/>
      <c r="CB14" s="124"/>
      <c r="CC14" s="124"/>
      <c r="CD14" s="124"/>
      <c r="CE14" s="125"/>
      <c r="CF14" s="123"/>
      <c r="CG14" s="124"/>
      <c r="CH14" s="124"/>
      <c r="CI14" s="124"/>
      <c r="CJ14" s="124"/>
      <c r="CK14" s="124"/>
      <c r="CL14" s="124"/>
      <c r="CM14" s="124"/>
      <c r="CN14" s="124"/>
      <c r="CO14" s="124"/>
      <c r="CP14" s="124"/>
      <c r="CQ14" s="124"/>
      <c r="CR14" s="124"/>
      <c r="CS14" s="124"/>
      <c r="CT14" s="124"/>
      <c r="CU14" s="124"/>
      <c r="CV14" s="124"/>
      <c r="CW14" s="124"/>
      <c r="CX14" s="124"/>
      <c r="CY14" s="125"/>
      <c r="CZ14" s="123"/>
      <c r="DA14" s="124"/>
      <c r="DB14" s="124"/>
      <c r="DC14" s="124"/>
      <c r="DD14" s="124"/>
      <c r="DE14" s="124"/>
      <c r="DF14" s="124"/>
      <c r="DG14" s="124"/>
      <c r="DH14" s="124"/>
      <c r="DI14" s="124"/>
      <c r="DJ14" s="124"/>
      <c r="DK14" s="124"/>
      <c r="DL14" s="124"/>
      <c r="DM14" s="124"/>
      <c r="DN14" s="124"/>
      <c r="DO14" s="124"/>
      <c r="DP14" s="124"/>
      <c r="DQ14" s="125"/>
      <c r="DR14" s="123"/>
      <c r="DS14" s="124"/>
      <c r="DT14" s="124"/>
      <c r="DU14" s="124"/>
      <c r="DV14" s="124"/>
      <c r="DW14" s="124"/>
      <c r="DX14" s="124"/>
      <c r="DY14" s="124"/>
      <c r="DZ14" s="124"/>
      <c r="EA14" s="124"/>
      <c r="EB14" s="124"/>
      <c r="EC14" s="124"/>
      <c r="ED14" s="124"/>
      <c r="EE14" s="124"/>
      <c r="EF14" s="124"/>
      <c r="EG14" s="124"/>
      <c r="EH14" s="125"/>
    </row>
    <row r="15" spans="1:167" ht="18" customHeight="1" x14ac:dyDescent="0.2">
      <c r="A15" s="44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116"/>
      <c r="X15" s="116"/>
      <c r="Y15" s="116"/>
      <c r="Z15" s="116"/>
      <c r="AA15" s="116"/>
      <c r="AB15" s="116"/>
      <c r="AC15" s="116"/>
      <c r="AD15" s="116"/>
      <c r="AE15" s="116"/>
      <c r="AO15" s="123"/>
      <c r="AP15" s="124"/>
      <c r="AQ15" s="124"/>
      <c r="AR15" s="124"/>
      <c r="AS15" s="124"/>
      <c r="AT15" s="124"/>
      <c r="AU15" s="124"/>
      <c r="AV15" s="124"/>
      <c r="AW15" s="124"/>
      <c r="AX15" s="124"/>
      <c r="AY15" s="124"/>
      <c r="AZ15" s="124"/>
      <c r="BA15" s="124"/>
      <c r="BB15" s="124"/>
      <c r="BC15" s="124"/>
      <c r="BD15" s="124"/>
      <c r="BE15" s="125"/>
      <c r="BF15" s="123"/>
      <c r="BG15" s="124"/>
      <c r="BH15" s="124"/>
      <c r="BI15" s="124"/>
      <c r="BJ15" s="124"/>
      <c r="BK15" s="124"/>
      <c r="BL15" s="124"/>
      <c r="BM15" s="124"/>
      <c r="BN15" s="124"/>
      <c r="BO15" s="124"/>
      <c r="BP15" s="124"/>
      <c r="BQ15" s="124"/>
      <c r="BR15" s="124"/>
      <c r="BS15" s="124"/>
      <c r="BT15" s="124"/>
      <c r="BU15" s="124"/>
      <c r="BV15" s="124"/>
      <c r="BW15" s="124"/>
      <c r="BX15" s="124"/>
      <c r="BY15" s="124"/>
      <c r="BZ15" s="124"/>
      <c r="CA15" s="124"/>
      <c r="CB15" s="124"/>
      <c r="CC15" s="124"/>
      <c r="CD15" s="124"/>
      <c r="CE15" s="125"/>
      <c r="CF15" s="123"/>
      <c r="CG15" s="124"/>
      <c r="CH15" s="124"/>
      <c r="CI15" s="124"/>
      <c r="CJ15" s="124"/>
      <c r="CK15" s="124"/>
      <c r="CL15" s="124"/>
      <c r="CM15" s="124"/>
      <c r="CN15" s="124"/>
      <c r="CO15" s="124"/>
      <c r="CP15" s="124"/>
      <c r="CQ15" s="124"/>
      <c r="CR15" s="124"/>
      <c r="CS15" s="124"/>
      <c r="CT15" s="124"/>
      <c r="CU15" s="124"/>
      <c r="CV15" s="124"/>
      <c r="CW15" s="124"/>
      <c r="CX15" s="124"/>
      <c r="CY15" s="125"/>
      <c r="CZ15" s="123"/>
      <c r="DA15" s="124"/>
      <c r="DB15" s="124"/>
      <c r="DC15" s="124"/>
      <c r="DD15" s="124"/>
      <c r="DE15" s="124"/>
      <c r="DF15" s="124"/>
      <c r="DG15" s="124"/>
      <c r="DH15" s="124"/>
      <c r="DI15" s="124"/>
      <c r="DJ15" s="124"/>
      <c r="DK15" s="124"/>
      <c r="DL15" s="124"/>
      <c r="DM15" s="124"/>
      <c r="DN15" s="124"/>
      <c r="DO15" s="124"/>
      <c r="DP15" s="124"/>
      <c r="DQ15" s="125"/>
      <c r="DR15" s="123"/>
      <c r="DS15" s="124"/>
      <c r="DT15" s="124"/>
      <c r="DU15" s="124"/>
      <c r="DV15" s="124"/>
      <c r="DW15" s="124"/>
      <c r="DX15" s="124"/>
      <c r="DY15" s="124"/>
      <c r="DZ15" s="124"/>
      <c r="EA15" s="124"/>
      <c r="EB15" s="124"/>
      <c r="EC15" s="124"/>
      <c r="ED15" s="124"/>
      <c r="EE15" s="124"/>
      <c r="EF15" s="124"/>
      <c r="EG15" s="124"/>
      <c r="EH15" s="125"/>
    </row>
    <row r="16" spans="1:167" ht="15" customHeight="1" x14ac:dyDescent="0.2">
      <c r="C16" s="116"/>
      <c r="D16" s="116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16"/>
      <c r="T16" s="116"/>
      <c r="U16" s="116"/>
      <c r="V16" s="116"/>
      <c r="W16" s="116"/>
      <c r="X16" s="116"/>
      <c r="Y16" s="116"/>
      <c r="Z16" s="116"/>
      <c r="AA16" s="116"/>
      <c r="AB16" s="116"/>
      <c r="AC16" s="116"/>
      <c r="AD16" s="116"/>
      <c r="AE16" s="116"/>
      <c r="AO16" s="136"/>
      <c r="AP16" s="137"/>
      <c r="AQ16" s="137"/>
      <c r="AR16" s="137"/>
      <c r="AS16" s="137"/>
      <c r="AT16" s="137"/>
      <c r="AU16" s="137"/>
      <c r="AV16" s="137"/>
      <c r="AW16" s="137"/>
      <c r="AX16" s="137"/>
      <c r="AY16" s="137"/>
      <c r="AZ16" s="137"/>
      <c r="BA16" s="137"/>
      <c r="BB16" s="137"/>
      <c r="BC16" s="137"/>
      <c r="BD16" s="137"/>
      <c r="BE16" s="138"/>
      <c r="BF16" s="150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2"/>
      <c r="CF16" s="142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4"/>
      <c r="CZ16" s="136"/>
      <c r="DA16" s="137"/>
      <c r="DB16" s="137"/>
      <c r="DC16" s="137"/>
      <c r="DD16" s="137"/>
      <c r="DE16" s="137"/>
      <c r="DF16" s="137"/>
      <c r="DG16" s="137"/>
      <c r="DH16" s="137"/>
      <c r="DI16" s="137"/>
      <c r="DJ16" s="137"/>
      <c r="DK16" s="137"/>
      <c r="DL16" s="137"/>
      <c r="DM16" s="137"/>
      <c r="DN16" s="137"/>
      <c r="DO16" s="137"/>
      <c r="DP16" s="137"/>
      <c r="DQ16" s="138"/>
      <c r="DR16" s="146"/>
      <c r="DS16" s="147"/>
      <c r="DT16" s="147"/>
      <c r="DU16" s="147"/>
      <c r="DV16" s="147"/>
      <c r="DW16" s="147"/>
      <c r="DX16" s="147"/>
      <c r="DY16" s="147"/>
      <c r="DZ16" s="147"/>
      <c r="EA16" s="147"/>
      <c r="EB16" s="147"/>
      <c r="EC16" s="147"/>
      <c r="ED16" s="147"/>
      <c r="EE16" s="147"/>
      <c r="EF16" s="147"/>
      <c r="EG16" s="147"/>
      <c r="EH16" s="148"/>
    </row>
    <row r="17" spans="3:138" ht="11.1" customHeight="1" x14ac:dyDescent="0.2"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6"/>
      <c r="O17" s="116"/>
      <c r="P17" s="116"/>
      <c r="Q17" s="116"/>
      <c r="R17" s="116"/>
      <c r="S17" s="116"/>
      <c r="T17" s="116"/>
      <c r="U17" s="116"/>
      <c r="V17" s="116"/>
      <c r="W17" s="116"/>
      <c r="X17" s="116"/>
      <c r="Y17" s="116"/>
      <c r="Z17" s="116"/>
      <c r="AA17" s="116"/>
      <c r="AB17" s="116"/>
      <c r="AC17" s="116"/>
      <c r="AD17" s="116"/>
      <c r="AE17" s="116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49" t="s">
        <v>142</v>
      </c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5"/>
      <c r="CF17" s="145"/>
      <c r="CG17" s="145"/>
      <c r="CH17" s="145"/>
      <c r="CI17" s="145"/>
      <c r="CJ17" s="145"/>
      <c r="CK17" s="145"/>
      <c r="CL17" s="145"/>
      <c r="CM17" s="145"/>
      <c r="CN17" s="145"/>
      <c r="CO17" s="145"/>
      <c r="CP17" s="145"/>
      <c r="CQ17" s="145"/>
      <c r="CR17" s="145"/>
      <c r="CS17" s="145"/>
      <c r="CT17" s="145"/>
      <c r="CU17" s="145"/>
      <c r="CV17" s="145"/>
      <c r="CW17" s="145"/>
      <c r="CX17" s="145"/>
      <c r="CY17" s="145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16"/>
      <c r="D18" s="116"/>
      <c r="E18" s="116"/>
      <c r="F18" s="116"/>
      <c r="G18" s="116"/>
      <c r="H18" s="116"/>
      <c r="I18" s="116"/>
      <c r="J18" s="116"/>
      <c r="K18" s="116"/>
      <c r="L18" s="116"/>
      <c r="M18" s="116"/>
      <c r="N18" s="116"/>
      <c r="O18" s="116"/>
      <c r="P18" s="116"/>
      <c r="Q18" s="116"/>
      <c r="R18" s="116"/>
      <c r="S18" s="116"/>
      <c r="T18" s="116"/>
      <c r="U18" s="116"/>
      <c r="V18" s="116"/>
      <c r="W18" s="116"/>
      <c r="X18" s="116"/>
      <c r="Y18" s="116"/>
      <c r="Z18" s="116"/>
      <c r="AA18" s="116"/>
      <c r="AB18" s="116"/>
      <c r="AC18" s="116"/>
      <c r="AD18" s="116"/>
      <c r="AE18" s="116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O19" s="44"/>
      <c r="AZ19" s="153" t="s">
        <v>147</v>
      </c>
      <c r="BA19" s="153"/>
      <c r="BB19" s="153"/>
      <c r="BC19" s="153"/>
      <c r="BD19" s="153"/>
      <c r="BE19" s="153"/>
      <c r="BF19" s="153"/>
      <c r="BG19" s="153"/>
      <c r="BH19" s="153"/>
      <c r="BI19" s="153"/>
      <c r="BJ19" s="153"/>
      <c r="BK19" s="153"/>
      <c r="BL19" s="153"/>
      <c r="BM19" s="153"/>
      <c r="BN19" s="153"/>
      <c r="BO19" s="153"/>
      <c r="BP19" s="153"/>
      <c r="BQ19" s="153"/>
      <c r="BR19" s="153"/>
      <c r="BS19" s="153"/>
      <c r="BT19" s="153"/>
      <c r="BU19" s="153"/>
      <c r="BV19" s="153"/>
      <c r="BW19" s="153"/>
      <c r="BX19" s="153"/>
      <c r="BY19" s="153"/>
      <c r="BZ19" s="153"/>
      <c r="CA19" s="153"/>
      <c r="CB19" s="153"/>
      <c r="CC19" s="140"/>
      <c r="CD19" s="140"/>
      <c r="CE19" s="140"/>
      <c r="CF19" s="140"/>
      <c r="CG19" s="140"/>
      <c r="CH19" s="140"/>
      <c r="CI19" s="140"/>
      <c r="CJ19" s="140"/>
      <c r="CK19" s="140"/>
      <c r="CL19" s="140"/>
      <c r="CM19" s="140"/>
      <c r="CN19" s="140"/>
      <c r="CO19" s="140"/>
      <c r="CP19" s="140"/>
      <c r="CQ19" s="140"/>
      <c r="CR19" s="140"/>
      <c r="CS19" s="140"/>
      <c r="CT19" s="140"/>
      <c r="CU19" s="140"/>
      <c r="CV19" s="140"/>
      <c r="CW19" s="140"/>
      <c r="CX19" s="140"/>
      <c r="CY19" s="140"/>
      <c r="CZ19" s="140"/>
      <c r="DA19" s="140"/>
      <c r="DB19" s="140"/>
      <c r="DC19" s="140"/>
      <c r="DD19" s="140"/>
      <c r="DE19" s="140"/>
      <c r="DF19" s="140"/>
      <c r="DG19" s="140"/>
      <c r="DH19" s="140"/>
      <c r="DI19" s="140"/>
      <c r="DJ19" s="140"/>
      <c r="DK19" s="140"/>
      <c r="DL19" s="140"/>
      <c r="DM19" s="140"/>
      <c r="EF19" s="36"/>
      <c r="EG19" s="36"/>
      <c r="EH19" s="42"/>
    </row>
    <row r="20" spans="3:138" ht="11.1" customHeight="1" x14ac:dyDescent="0.2">
      <c r="C20" s="116"/>
      <c r="D20" s="116"/>
      <c r="E20" s="116"/>
      <c r="F20" s="116"/>
      <c r="G20" s="116"/>
      <c r="H20" s="116"/>
      <c r="I20" s="116"/>
      <c r="J20" s="116"/>
      <c r="K20" s="116"/>
      <c r="L20" s="116"/>
      <c r="M20" s="116"/>
      <c r="N20" s="116"/>
      <c r="O20" s="116"/>
      <c r="P20" s="116"/>
      <c r="Q20" s="116"/>
      <c r="R20" s="116"/>
      <c r="S20" s="116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5" t="s">
        <v>149</v>
      </c>
      <c r="BA22" s="135"/>
      <c r="BB22" s="135"/>
      <c r="BC22" s="135"/>
      <c r="BD22" s="135"/>
      <c r="BE22" s="135"/>
      <c r="BF22" s="135"/>
      <c r="BG22" s="135"/>
      <c r="BH22" s="135"/>
      <c r="BI22" s="135"/>
      <c r="BJ22" s="135"/>
      <c r="BK22" s="135"/>
      <c r="BL22" s="135"/>
      <c r="BM22" s="135"/>
      <c r="BN22" s="135"/>
      <c r="BO22" s="135"/>
      <c r="BP22" s="135"/>
      <c r="BQ22" s="135"/>
      <c r="BR22" s="135"/>
      <c r="BS22" s="135"/>
      <c r="BT22" s="135"/>
      <c r="BU22" s="135"/>
      <c r="BV22" s="135"/>
      <c r="BW22" s="135"/>
      <c r="BX22" s="135"/>
      <c r="BY22" s="135"/>
      <c r="BZ22" s="135"/>
      <c r="CA22" s="135"/>
      <c r="CB22" s="135"/>
      <c r="CC22" s="141"/>
      <c r="CD22" s="141"/>
      <c r="CE22" s="141"/>
      <c r="CF22" s="141"/>
      <c r="CG22" s="141"/>
      <c r="CH22" s="141"/>
      <c r="CI22" s="141"/>
      <c r="CJ22" s="141"/>
      <c r="CK22" s="141"/>
      <c r="CL22" s="141"/>
      <c r="CM22" s="141"/>
      <c r="CN22" s="141"/>
      <c r="CO22" s="141"/>
      <c r="CP22" s="141"/>
      <c r="CQ22" s="141"/>
      <c r="CR22" s="141"/>
      <c r="CS22" s="141"/>
      <c r="CT22" s="141"/>
      <c r="CU22" s="141"/>
      <c r="CV22" s="141"/>
      <c r="DA22" s="43" t="s">
        <v>150</v>
      </c>
      <c r="DO22" s="139"/>
      <c r="DP22" s="139"/>
      <c r="DQ22" s="139"/>
      <c r="DR22" s="139"/>
      <c r="DS22" s="139"/>
      <c r="DT22" s="139"/>
      <c r="DU22" s="139"/>
      <c r="DV22" s="139"/>
      <c r="DW22" s="139"/>
      <c r="DX22" s="139"/>
      <c r="DY22" s="139"/>
      <c r="DZ22" s="139"/>
      <c r="EA22" s="139"/>
      <c r="EB22" s="139"/>
      <c r="EC22" s="139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O13:BE15"/>
    <mergeCell ref="BF13:CE15"/>
    <mergeCell ref="CF13:CY15"/>
    <mergeCell ref="CZ13:DQ15"/>
    <mergeCell ref="DR13:EH15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E5:T5"/>
    <mergeCell ref="A8:BH8"/>
    <mergeCell ref="BZ5:CI8"/>
    <mergeCell ref="CJ5:CP8"/>
    <mergeCell ref="BZ9:CI9"/>
    <mergeCell ref="CJ9:CP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http://schemas.openxmlformats.org/package/2006/metadata/core-properties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2023-02-21T13:45:04Z</cp:lastPrinted>
  <dcterms:created xsi:type="dcterms:W3CDTF">2012-02-27T08:19:11Z</dcterms:created>
  <dcterms:modified xsi:type="dcterms:W3CDTF">2023-03-22T08:33:22Z</dcterms:modified>
</cp:coreProperties>
</file>