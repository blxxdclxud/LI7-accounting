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4" i="282" l="1"/>
  <c r="C573" i="282"/>
  <c r="C586" i="282" s="1"/>
  <c r="C571" i="282"/>
  <c r="C569" i="282"/>
  <c r="C582" i="282" s="1"/>
  <c r="C557" i="282"/>
  <c r="C546" i="282"/>
  <c r="C559" i="282" s="1"/>
  <c r="C544" i="282"/>
  <c r="C542" i="282"/>
  <c r="C555" i="282" s="1"/>
  <c r="C530" i="282"/>
  <c r="C519" i="282"/>
  <c r="C532" i="282" s="1"/>
  <c r="C517" i="282"/>
  <c r="C515" i="282"/>
  <c r="C528" i="282" s="1"/>
  <c r="C503" i="282"/>
  <c r="C492" i="282"/>
  <c r="C505" i="282" s="1"/>
  <c r="C490" i="282"/>
  <c r="C488" i="282"/>
  <c r="C501" i="282" s="1"/>
  <c r="C476" i="282"/>
  <c r="C465" i="282"/>
  <c r="C478" i="282" s="1"/>
  <c r="C463" i="282"/>
  <c r="C461" i="282"/>
  <c r="C474" i="282" s="1"/>
  <c r="C449" i="282"/>
  <c r="C438" i="282"/>
  <c r="C451" i="282" s="1"/>
  <c r="C436" i="282"/>
  <c r="C434" i="282"/>
  <c r="C447" i="282" s="1"/>
  <c r="C422" i="282"/>
  <c r="C411" i="282"/>
  <c r="C424" i="282" s="1"/>
  <c r="C409" i="282"/>
  <c r="C407" i="282"/>
  <c r="C420" i="282" s="1"/>
  <c r="C395" i="282"/>
  <c r="C384" i="282"/>
  <c r="C397" i="282" s="1"/>
  <c r="C382" i="282"/>
  <c r="C380" i="282"/>
  <c r="C393" i="282" s="1"/>
  <c r="C368" i="282"/>
  <c r="C357" i="282"/>
  <c r="C370" i="282" s="1"/>
  <c r="C355" i="282"/>
  <c r="C353" i="282"/>
  <c r="C366" i="282" s="1"/>
  <c r="C341" i="282"/>
  <c r="C330" i="282"/>
  <c r="C343" i="282" s="1"/>
  <c r="C328" i="282"/>
  <c r="C326" i="282"/>
  <c r="C339" i="282" s="1"/>
  <c r="C314" i="282"/>
  <c r="C303" i="282"/>
  <c r="C316" i="282" s="1"/>
  <c r="C301" i="282"/>
  <c r="C299" i="282"/>
  <c r="C312" i="282" s="1"/>
  <c r="C287" i="282"/>
  <c r="C276" i="282"/>
  <c r="C289" i="282" s="1"/>
  <c r="C274" i="282"/>
  <c r="C272" i="282"/>
  <c r="C285" i="282" s="1"/>
  <c r="C260" i="282"/>
  <c r="C249" i="282"/>
  <c r="C262" i="282" s="1"/>
  <c r="C247" i="282"/>
  <c r="C245" i="282"/>
  <c r="C258" i="282" s="1"/>
  <c r="C233" i="282"/>
  <c r="C222" i="282"/>
  <c r="C235" i="282" s="1"/>
  <c r="C220" i="282"/>
  <c r="C218" i="282"/>
  <c r="C231" i="282" s="1"/>
  <c r="C206" i="282"/>
  <c r="C195" i="282"/>
  <c r="C208" i="282" s="1"/>
  <c r="C193" i="282"/>
  <c r="C191" i="282"/>
  <c r="C204" i="282" s="1"/>
  <c r="C179" i="282"/>
  <c r="C168" i="282"/>
  <c r="C181" i="282" s="1"/>
  <c r="C166" i="282"/>
  <c r="C164" i="282"/>
  <c r="C177" i="282" s="1"/>
  <c r="C152" i="282"/>
  <c r="C141" i="282"/>
  <c r="C154" i="282" s="1"/>
  <c r="C139" i="282"/>
  <c r="C137" i="282"/>
  <c r="C150" i="282" s="1"/>
  <c r="C125" i="282"/>
  <c r="C114" i="282"/>
  <c r="C127" i="282" s="1"/>
  <c r="C112" i="282"/>
  <c r="C110" i="282"/>
  <c r="C123" i="282" s="1"/>
  <c r="C98" i="282"/>
  <c r="C87" i="282"/>
  <c r="C100" i="282" s="1"/>
  <c r="C85" i="282"/>
  <c r="C83" i="282"/>
  <c r="C96" i="282" s="1"/>
  <c r="C71" i="282"/>
  <c r="C60" i="282"/>
  <c r="C73" i="282" s="1"/>
  <c r="C58" i="282"/>
  <c r="C56" i="282"/>
  <c r="C69" i="282" s="1"/>
  <c r="C44" i="282"/>
  <c r="C33" i="282"/>
  <c r="C46" i="282" s="1"/>
  <c r="C31" i="282"/>
  <c r="C29" i="282"/>
  <c r="C42" i="282" s="1"/>
  <c r="C17" i="282"/>
  <c r="C6" i="282"/>
  <c r="C19" i="282" s="1"/>
  <c r="C4" i="282"/>
  <c r="C2" i="282"/>
  <c r="C15" i="282" s="1"/>
  <c r="F2" i="268" l="1"/>
  <c r="G2" i="268"/>
  <c r="H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G1282" i="268" l="1"/>
  <c r="G1281" i="268"/>
  <c r="G1280" i="268"/>
  <c r="G1279" i="268"/>
  <c r="G1278" i="268"/>
  <c r="G1277" i="268"/>
  <c r="G1276" i="268"/>
  <c r="G1275" i="268"/>
  <c r="G1274" i="268"/>
  <c r="G1273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<sst xmlns="http://schemas.openxmlformats.org/spreadsheetml/2006/main" count="2319" uniqueCount="431">
  <si>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</si>
  <si>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</si>
  <si>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</si>
  <si>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</si>
  <si>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</si>
  <si>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</si>
  <si>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</si>
  <si>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</si>
  <si>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</si>
  <si>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</si>
  <si>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</si>
  <si>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</si>
  <si>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</si>
  <si>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</si>
  <si>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</si>
  <si>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</si>
  <si>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</si>
  <si>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</si>
  <si>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</si>
  <si>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</si>
  <si>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</si>
  <si>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</si>
  <si>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</si>
  <si>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</si>
  <si>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</si>
  <si>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</si>
  <si>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</si>
  <si>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</si>
  <si>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</si>
  <si>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</si>
  <si>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</si>
  <si>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</si>
  <si>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</si>
  <si>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</si>
  <si>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</si>
  <si>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</si>
  <si>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</si>
  <si>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</si>
  <si>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</si>
  <si>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</si>
  <si>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</si>
  <si>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</si>
  <si>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</si>
  <si>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</si>
  <si>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</si>
  <si>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</si>
  <si>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</si>
  <si>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</si>
  <si>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</si>
  <si>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</si>
  <si>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</si>
  <si>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</si>
  <si>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</si>
  <si>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</si>
  <si>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</si>
  <si>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</si>
  <si>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</si>
  <si>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</si>
  <si>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</si>
  <si>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</si>
  <si>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</si>
  <si>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</si>
  <si>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</si>
  <si>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</si>
  <si>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</si>
  <si>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</si>
  <si>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</si>
  <si>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</si>
  <si>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</si>
  <si>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</si>
  <si>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</si>
  <si>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</si>
  <si>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</si>
  <si>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</si>
  <si>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</si>
  <si>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</si>
  <si>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</si>
  <si>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</si>
  <si>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</si>
  <si>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</si>
  <si>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</si>
  <si>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</si>
  <si>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</si>
  <si>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</si>
  <si>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</si>
  <si>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</si>
  <si>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</si>
  <si>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</si>
  <si>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</si>
  <si>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</si>
  <si>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</si>
  <si>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</si>
  <si>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</si>
  <si>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</si>
  <si>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</si>
  <si>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</si>
  <si>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</si>
  <si>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</si>
  <si>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</si>
  <si>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</si>
  <si>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</si>
  <si>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</si>
  <si>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</si>
  <si>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</si>
  <si>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</si>
  <si>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</si>
  <si>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</si>
  <si>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</si>
  <si>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</si>
  <si>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</si>
  <si>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</si>
  <si>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</si>
  <si>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</si>
  <si>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</si>
  <si>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</si>
  <si>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</si>
  <si>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</si>
  <si>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</si>
  <si>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</si>
  <si>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</si>
  <si>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</si>
  <si>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</si>
  <si>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</si>
  <si>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</si>
  <si>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</si>
  <si>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</si>
  <si>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</si>
  <si>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</si>
  <si>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</si>
  <si>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</si>
  <si>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</si>
  <si>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</si>
  <si>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</si>
  <si>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</si>
  <si>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</si>
  <si>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</si>
  <si>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</si>
  <si>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</si>
  <si>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</si>
  <si>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</si>
  <si>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</si>
  <si>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</si>
  <si>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</si>
  <si>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</si>
  <si>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</si>
  <si>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</si>
  <si>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</si>
  <si>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</si>
  <si>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</si>
  <si>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</si>
  <si>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</si>
  <si>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</si>
  <si>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</si>
  <si>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</si>
  <si>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</si>
  <si>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</si>
  <si>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</si>
  <si>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</si>
  <si>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</si>
  <si>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</si>
  <si>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</si>
  <si>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</si>
  <si>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</si>
  <si>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</si>
  <si>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</si>
  <si>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</si>
  <si>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</si>
  <si>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</si>
  <si>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</si>
  <si>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</si>
  <si>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</si>
  <si>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</si>
  <si>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</si>
  <si>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</si>
  <si>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</si>
  <si>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</si>
  <si>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</si>
  <si>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</si>
  <si>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</si>
  <si>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</si>
  <si>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</si>
  <si>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</si>
  <si>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</si>
  <si>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</si>
  <si>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</si>
  <si>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</si>
  <si>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</si>
  <si>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</si>
  <si>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</si>
  <si>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</si>
  <si>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</si>
  <si>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</si>
  <si>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</si>
  <si>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</si>
  <si>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</si>
  <si>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</si>
  <si>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</si>
  <si>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</si>
  <si>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</si>
  <si>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</si>
  <si>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</si>
  <si>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</si>
  <si>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</si>
  <si>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</si>
  <si>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</si>
  <si>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</si>
  <si>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</si>
  <si>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</si>
  <si>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</si>
  <si>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</si>
  <si>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</si>
  <si>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</si>
  <si>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</si>
  <si>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</si>
  <si>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</si>
  <si>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</si>
  <si>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</si>
  <si>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</si>
  <si>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</si>
  <si>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</si>
  <si>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</si>
  <si>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</si>
  <si>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</si>
  <si>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</si>
  <si>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</si>
  <si>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</si>
  <si>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</si>
  <si>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</si>
  <si>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</si>
  <si>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</si>
  <si>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</si>
  <si>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</si>
  <si>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</si>
  <si>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</si>
  <si>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</si>
  <si>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</si>
  <si>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</si>
  <si>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</si>
  <si>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</si>
  <si>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</si>
  <si>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</si>
  <si>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</si>
  <si>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</si>
  <si>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</si>
  <si>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</si>
  <si>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</si>
  <si>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</si>
  <si>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</si>
  <si>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</si>
  <si>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</si>
  <si>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</si>
  <si>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</si>
  <si>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</si>
  <si>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</si>
  <si>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</si>
  <si>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</si>
  <si>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</si>
  <si>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</si>
  <si>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</si>
  <si>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</si>
  <si>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</si>
  <si>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</si>
  <si>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</si>
  <si>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</si>
  <si>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</si>
  <si>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</si>
  <si>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</si>
  <si>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</si>
  <si>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</si>
  <si>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</si>
  <si>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</si>
  <si>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</si>
  <si>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</si>
  <si>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</si>
  <si>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</si>
  <si>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</si>
  <si>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</si>
  <si>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</si>
  <si>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</si>
  <si>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</si>
  <si>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</si>
  <si>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</si>
  <si>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</si>
  <si>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</si>
  <si>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</si>
  <si>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</si>
  <si>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</si>
  <si>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</si>
  <si>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</si>
  <si>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</si>
  <si>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</si>
  <si>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</si>
  <si>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</si>
  <si>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</si>
  <si>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</si>
  <si>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</si>
  <si>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</si>
  <si>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</si>
  <si>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</si>
  <si>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</si>
  <si>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</si>
  <si>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</si>
  <si>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</si>
  <si>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</si>
  <si>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</si>
  <si>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</si>
  <si>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</si>
  <si>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</si>
  <si>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</si>
  <si>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</si>
  <si>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</si>
  <si>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</si>
  <si>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</si>
  <si>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</si>
  <si>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</si>
  <si>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</si>
  <si>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</si>
  <si>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</si>
  <si>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</si>
  <si>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</si>
  <si>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</si>
  <si>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</si>
  <si>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</si>
  <si>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</si>
  <si>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</si>
  <si>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</si>
  <si>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</si>
  <si>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</si>
  <si>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</si>
  <si>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</si>
  <si>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</si>
  <si>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</si>
  <si>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</si>
  <si>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</si>
  <si>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</si>
  <si>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</si>
  <si>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</si>
  <si>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</si>
  <si>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</si>
  <si>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</si>
  <si>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</si>
  <si>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</si>
  <si>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</si>
  <si>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</si>
  <si>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</si>
  <si>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</si>
  <si>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</si>
  <si>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</si>
  <si>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</si>
  <si>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</si>
  <si>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</si>
  <si>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</si>
  <si>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</si>
  <si>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</si>
  <si>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</si>
  <si>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</si>
  <si>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</si>
  <si>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</si>
  <si>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</si>
  <si>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</si>
  <si>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</si>
  <si>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</si>
  <si>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</si>
  <si>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</si>
  <si>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</si>
  <si>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</si>
  <si>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</si>
  <si>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</si>
  <si>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</si>
  <si>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</si>
  <si>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</si>
  <si>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</si>
  <si>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</si>
  <si>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</si>
  <si>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</si>
  <si>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</si>
  <si>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</si>
  <si>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</si>
  <si>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</si>
  <si>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</si>
  <si>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</si>
  <si>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</si>
  <si>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</si>
  <si>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</si>
  <si>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</si>
  <si>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</si>
  <si>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</si>
  <si>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</si>
  <si>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</si>
  <si>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</si>
  <si>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</si>
  <si>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</si>
  <si>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</si>
  <si>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</si>
  <si>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</si>
  <si>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</si>
  <si>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5а род              </t>
  </si>
  <si>
    <t>000820</t>
  </si>
  <si>
    <t xml:space="preserve">Ахмадуллин Арслан Наилевич                        </t>
  </si>
  <si>
    <t>ЛС: 000763; ФИО обучающегося: Абдрахманов Юлдаш Рафикович                       ; Назначение: 5а род февраль; КБК: 82100000000000003131; ОКТМО: 92701000</t>
  </si>
  <si>
    <t>Сумма: 2838 руб. 53 коп.</t>
  </si>
  <si>
    <t>ЛС: 000790; ФИО обучающегося: Аджигитов Ахмад Рафаэльевич                       ; Назначение: 5а род февраль; КБК: 82100000000000003131; ОКТМО: 92701000</t>
  </si>
  <si>
    <t>Сумма: 2838 руб. 00 коп.</t>
  </si>
  <si>
    <t>ЛС: 000723; ФИО обучающегося: Айзатуллин Амир Эмилевич                          ; Назначение: 5а род февраль; КБК: 82100000000000003131; ОКТМО: 92701000</t>
  </si>
  <si>
    <t>Сумма: 8312 руб. 88 коп.</t>
  </si>
  <si>
    <t>ЛС: 000820; ФИО обучающегося: Ахмадуллин Арслан Наилевич                        ; Назначение: 5а род февраль; КБК: 82100000000000003131; ОКТМО: 92701000</t>
  </si>
  <si>
    <t>ЛС: 000821; ФИО обучающегося: Валиев Азамат Ленарович                           ; Назначение: 5а род февраль; КБК: 82100000000000003131; ОКТМО: 92701000</t>
  </si>
  <si>
    <t>Сумма: 2540 руб. 00 коп.</t>
  </si>
  <si>
    <t>ЛС: 000724; ФИО обучающегося: Волков Дмитрий Евгеньевич                         ; Назначение: 5а род февраль; КБК: 82100000000000003131; ОКТМО: 92701000</t>
  </si>
  <si>
    <t>ЛС: 000816; ФИО обучающегося: Галаутдинов Камиль Рустамович                     ; Назначение: 5а род февраль; КБК: 82100000000000003131; ОКТМО: 92701000</t>
  </si>
  <si>
    <t>ЛС: 000815; ФИО обучающегося: Гаранин Кирилл Андреевич                          ; Назначение: 5а род февраль; КБК: 82100000000000003131; ОКТМО: 92701000</t>
  </si>
  <si>
    <t>ЛС: 000718; ФИО обучающегося: Гилманов Амир Рустемович                          ; Назначение: 5а род февраль; КБК: 82100000000000003131; ОКТМО: 92701000</t>
  </si>
  <si>
    <t>ЛС: 000767; ФИО обучающегося: Гимранов Рифат Рамилевич                          ; Назначение: 5а род февраль; КБК: 82100000000000003131; ОКТМО: 92701000</t>
  </si>
  <si>
    <t>Сумма: 6827 руб. 72 коп.</t>
  </si>
  <si>
    <t>ЛС: 000823; ФИО обучающегося: Давлетов Али Радикович                            ; Назначение: 5а род февраль; КБК: 82100000000000003131; ОКТМО: 92701000</t>
  </si>
  <si>
    <t>ЛС: 000716; ФИО обучающегося: Ильичев Денис Алексеевич                          ; Назначение: 5а род февраль; КБК: 82100000000000003131; ОКТМО: 92701000</t>
  </si>
  <si>
    <t>ЛС: 000769; ФИО обучающегося: Кудинов Нил Александрович                         ; Назначение: 5а род февраль; КБК: 82100000000000003131; ОКТМО: 92701000</t>
  </si>
  <si>
    <t>ЛС: 000817; ФИО обучающегося: Минимуллин Камиль Расимович                       ; Назначение: 5а род февраль; КБК: 82100000000000003131; ОКТМО: 92701000</t>
  </si>
  <si>
    <t>ЛС: 000772; ФИО обучающегося: Муллакаев Ибрахим Фидаилевич                      ; Назначение: 5а род февраль; КБК: 82100000000000003131; ОКТМО: 92701000</t>
  </si>
  <si>
    <t>Сумма: 8214 руб. 57 коп.</t>
  </si>
  <si>
    <t>ЛС: 000788; ФИО обучающегося: Мустафин Султан Радикович                         ; Назначение: 5а род февраль; КБК: 82100000000000003131; ОКТМО: 92701000</t>
  </si>
  <si>
    <t>Сумма: 7171 руб. 21 коп.</t>
  </si>
  <si>
    <t>ЛС: 000822; ФИО обучающегося: Олудин Никита Алексеевич                          ; Назначение: 5а род февраль; КБК: 82100000000000003131; ОКТМО: 92701000</t>
  </si>
  <si>
    <t>ЛС: 000838; ФИО обучающегося: Фатхутдинов Карим Динарович                       ; Назначение: 5а род февраль; КБК: 82100000000000003131; ОКТМО: 92701000</t>
  </si>
  <si>
    <t>ЛС: 000776; ФИО обучающегося: Хаертдинов Мурат Наилевич                         ; Назначение: 5а род февраль; КБК: 82100000000000003131; ОКТМО: 92701000</t>
  </si>
  <si>
    <t>Сумма: 7986 руб. 35 коп.</t>
  </si>
  <si>
    <t>ЛС: 000818; ФИО обучающегося: Шаммасов Мансур Ренатович                         ; Назначение: 5а род февраль; КБК: 82100000000000003131; ОКТМО: 92701000</t>
  </si>
  <si>
    <t>ЛС: 000758; ФИО обучающегося: Шарафутдинов Тагир Азатович                       ; Назначение: 5а род февраль; КБК: 82100000000000003131; ОКТМО: 92701000</t>
  </si>
  <si>
    <t>ЛС: 000824; ФИО обучающегося: Яруллин Халиль Фаилевич                           ; Назначение: 5а род февраль; КБК: 82100000000000003131; ОКТМО: 92701000</t>
  </si>
  <si>
    <t>март</t>
  </si>
  <si>
    <t>5а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</si>
</sst>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4" fillId="0" borderId="0" xfId="0" applyFont="1" applyAlignment="1">
      <alignment horizontal="center"/>
    </xf>
    <xf numFmtId="49" fontId="34" fillId="0" borderId="0" xfId="0" applyNumberFormat="1" applyFont="1" applyAlignment="1">
      <alignment horizontal="center"/>
    </xf>
    <xf numFmtId="49" fontId="34" fillId="0" borderId="0" xfId="0" applyNumberFormat="1" applyFont="1" applyAlignment="1" applyProtection="1">
      <alignment horizontal="center" vertical="center" wrapText="1"/>
      <protection locked="0"/>
    </xf>
    <xf numFmtId="49" fontId="34" fillId="0" borderId="0" xfId="0" applyNumberFormat="1" applyFont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left"/>
    </xf>
    <xf numFmtId="0" fontId="35" fillId="0" borderId="1" xfId="0" applyNumberFormat="1" applyFont="1" applyBorder="1" applyAlignment="1">
      <alignment horizontal="left"/>
    </xf>
    <xf numFmtId="49" fontId="0" fillId="0" borderId="0" xfId="0" applyNumberFormat="1"/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sz val="8"/>
        <color indexed="8"/>
        <name val="Arial Cy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21" totalsRowDxfId="19" headerRowBorderDxfId="22" tableBorderDxfId="20" dataCellStyle="Обычный 2">
  <autoFilter ref="A6:H7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82"/>
  <sheetViews>
    <sheetView tabSelected="1" workbookViewId="0">
      <selection activeCell="A3" sqref="A3:XFD21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6" t="s">
        <v>393</v>
      </c>
      <c r="B1" s="96"/>
      <c r="C1" s="96"/>
      <c r="D1" s="96"/>
      <c r="E1" s="96"/>
      <c r="F1" s="97" t="s">
        <v>394</v>
      </c>
      <c r="G1" s="97"/>
      <c r="H1" s="97"/>
      <c r="I1" s="97"/>
      <c r="J1" s="97"/>
      <c r="K1" s="97"/>
      <c r="L1" s="97"/>
      <c r="M1" s="97"/>
    </row>
    <row r="2" spans="1:13" x14ac:dyDescent="0.25">
      <c r="A2" s="90" t="s">
        <v>397</v>
      </c>
      <c r="B2" s="90" t="s">
        <v>398</v>
      </c>
      <c r="C2" s="90" t="s">
        <v>396</v>
      </c>
      <c r="D2" s="90" t="s">
        <v>429</v>
      </c>
      <c r="E2" s="91">
        <v>5330.56</v>
      </c>
      <c r="F2" s="93" t="str">
        <f t="shared" ref="F2:F40" si="0">TRIM(A2)</f>
        <v>000820</v>
      </c>
      <c r="G2" s="31" t="str">
        <f t="shared" ref="G2:G20" si="1">B2</f>
        <v xml:space="preserve">Ахмадуллин Арслан Наилевич                        </v>
      </c>
      <c r="H2" s="31" t="str">
        <f t="shared" ref="H2:H40" si="2">CONCATENATE(TRIM(C2)," ",D2)</f>
        <v>5а род март</v>
      </c>
      <c r="I2" s="92" t="s">
        <v>387</v>
      </c>
      <c r="J2" s="31">
        <v>92701000</v>
      </c>
      <c r="M2" s="31">
        <f t="shared" ref="M2:M37" si="3">E2</f>
        <v>5330.56</v>
      </c>
    </row>
    <row r="3" spans="1:13" x14ac:dyDescent="0.25">
      <c r="F3" s="93" t="str">
        <f t="shared" si="0"/>
        <v/>
      </c>
      <c r="G3" s="31">
        <f t="shared" si="1"/>
        <v>0</v>
      </c>
      <c r="H3" s="31" t="str">
        <f t="shared" si="2"/>
        <v xml:space="preserve"> </v>
      </c>
      <c r="I3" s="92" t="s">
        <v>387</v>
      </c>
      <c r="J3" s="31">
        <v>92701000</v>
      </c>
      <c r="M3" s="31">
        <f t="shared" si="3"/>
        <v>0</v>
      </c>
    </row>
    <row r="4" spans="1:13" x14ac:dyDescent="0.25">
      <c r="F4" s="93" t="str">
        <f t="shared" si="0"/>
        <v/>
      </c>
      <c r="G4" s="31">
        <f t="shared" si="1"/>
        <v>0</v>
      </c>
      <c r="H4" s="31" t="str">
        <f t="shared" si="2"/>
        <v xml:space="preserve"> </v>
      </c>
      <c r="I4" s="92" t="s">
        <v>387</v>
      </c>
      <c r="J4" s="31">
        <v>92701000</v>
      </c>
      <c r="M4" s="31">
        <f t="shared" si="3"/>
        <v>0</v>
      </c>
    </row>
    <row r="5" spans="1:13" x14ac:dyDescent="0.25">
      <c r="F5" s="93" t="str">
        <f t="shared" si="0"/>
        <v/>
      </c>
      <c r="G5" s="31">
        <f t="shared" si="1"/>
        <v>0</v>
      </c>
      <c r="H5" s="31" t="str">
        <f t="shared" si="2"/>
        <v xml:space="preserve"> </v>
      </c>
      <c r="I5" s="92" t="s">
        <v>387</v>
      </c>
      <c r="J5" s="31">
        <v>92701000</v>
      </c>
      <c r="M5" s="31">
        <f t="shared" si="3"/>
        <v>0</v>
      </c>
    </row>
    <row r="6" spans="1:13" x14ac:dyDescent="0.25">
      <c r="F6" s="93" t="str">
        <f t="shared" si="0"/>
        <v/>
      </c>
      <c r="G6" s="31">
        <f t="shared" si="1"/>
        <v>0</v>
      </c>
      <c r="H6" s="31" t="str">
        <f t="shared" si="2"/>
        <v xml:space="preserve"> </v>
      </c>
      <c r="I6" s="92" t="s">
        <v>387</v>
      </c>
      <c r="J6" s="31">
        <v>92701000</v>
      </c>
      <c r="M6" s="31">
        <f t="shared" si="3"/>
        <v>0</v>
      </c>
    </row>
    <row r="7" spans="1:13" x14ac:dyDescent="0.25">
      <c r="F7" s="93" t="str">
        <f t="shared" si="0"/>
        <v/>
      </c>
      <c r="G7" s="31">
        <f t="shared" si="1"/>
        <v>0</v>
      </c>
      <c r="H7" s="31" t="str">
        <f t="shared" si="2"/>
        <v xml:space="preserve"> </v>
      </c>
      <c r="I7" s="92" t="s">
        <v>387</v>
      </c>
      <c r="J7" s="31">
        <v>92701000</v>
      </c>
      <c r="M7" s="31">
        <f t="shared" si="3"/>
        <v>0</v>
      </c>
    </row>
    <row r="8" spans="1:13" x14ac:dyDescent="0.25">
      <c r="F8" s="93" t="str">
        <f t="shared" si="0"/>
        <v/>
      </c>
      <c r="G8" s="31">
        <f t="shared" si="1"/>
        <v>0</v>
      </c>
      <c r="H8" s="31" t="str">
        <f t="shared" si="2"/>
        <v xml:space="preserve"> </v>
      </c>
      <c r="I8" s="92" t="s">
        <v>387</v>
      </c>
      <c r="J8" s="31">
        <v>92701000</v>
      </c>
      <c r="M8" s="31">
        <f t="shared" si="3"/>
        <v>0</v>
      </c>
    </row>
    <row r="9" spans="1:13" x14ac:dyDescent="0.25">
      <c r="F9" s="93" t="str">
        <f t="shared" si="0"/>
        <v/>
      </c>
      <c r="G9" s="31">
        <f t="shared" si="1"/>
        <v>0</v>
      </c>
      <c r="H9" s="31" t="str">
        <f t="shared" si="2"/>
        <v xml:space="preserve"> </v>
      </c>
      <c r="I9" s="92" t="s">
        <v>387</v>
      </c>
      <c r="J9" s="31">
        <v>92701000</v>
      </c>
      <c r="M9" s="31">
        <f t="shared" si="3"/>
        <v>0</v>
      </c>
    </row>
    <row r="10" spans="1:13" x14ac:dyDescent="0.25">
      <c r="F10" s="93" t="str">
        <f t="shared" si="0"/>
        <v/>
      </c>
      <c r="G10" s="31">
        <f t="shared" si="1"/>
        <v>0</v>
      </c>
      <c r="H10" s="31" t="str">
        <f t="shared" si="2"/>
        <v xml:space="preserve"> </v>
      </c>
      <c r="I10" s="92" t="s">
        <v>387</v>
      </c>
      <c r="J10" s="31">
        <v>92701000</v>
      </c>
      <c r="M10" s="31">
        <f t="shared" si="3"/>
        <v>0</v>
      </c>
    </row>
    <row r="11" spans="1:13" x14ac:dyDescent="0.25">
      <c r="F11" s="93" t="str">
        <f t="shared" si="0"/>
        <v/>
      </c>
      <c r="G11" s="31">
        <f t="shared" si="1"/>
        <v>0</v>
      </c>
      <c r="H11" s="31" t="str">
        <f t="shared" si="2"/>
        <v xml:space="preserve"> </v>
      </c>
      <c r="I11" s="92" t="s">
        <v>387</v>
      </c>
      <c r="J11" s="31">
        <v>92701000</v>
      </c>
      <c r="M11" s="31">
        <f t="shared" si="3"/>
        <v>0</v>
      </c>
    </row>
    <row r="12" spans="1:13" x14ac:dyDescent="0.25">
      <c r="F12" s="93" t="str">
        <f t="shared" si="0"/>
        <v/>
      </c>
      <c r="G12" s="31">
        <f t="shared" si="1"/>
        <v>0</v>
      </c>
      <c r="H12" s="31" t="str">
        <f t="shared" si="2"/>
        <v xml:space="preserve"> </v>
      </c>
      <c r="I12" s="92" t="s">
        <v>387</v>
      </c>
      <c r="J12" s="31">
        <v>92701000</v>
      </c>
      <c r="M12" s="31">
        <f t="shared" si="3"/>
        <v>0</v>
      </c>
    </row>
    <row r="13" spans="1:13" x14ac:dyDescent="0.25">
      <c r="F13" s="93" t="str">
        <f t="shared" si="0"/>
        <v/>
      </c>
      <c r="G13" s="31">
        <f t="shared" si="1"/>
        <v>0</v>
      </c>
      <c r="H13" s="31" t="str">
        <f t="shared" si="2"/>
        <v xml:space="preserve"> </v>
      </c>
      <c r="I13" s="92" t="s">
        <v>387</v>
      </c>
      <c r="J13" s="31">
        <v>92701000</v>
      </c>
      <c r="M13" s="31">
        <f t="shared" si="3"/>
        <v>0</v>
      </c>
    </row>
    <row r="14" spans="1:13" x14ac:dyDescent="0.25">
      <c r="F14" s="93" t="str">
        <f t="shared" si="0"/>
        <v/>
      </c>
      <c r="G14" s="31">
        <f t="shared" si="1"/>
        <v>0</v>
      </c>
      <c r="H14" s="31" t="str">
        <f t="shared" si="2"/>
        <v xml:space="preserve"> </v>
      </c>
      <c r="I14" s="92" t="s">
        <v>387</v>
      </c>
      <c r="J14" s="31">
        <v>92701000</v>
      </c>
      <c r="M14" s="31">
        <f t="shared" si="3"/>
        <v>0</v>
      </c>
    </row>
    <row r="15" spans="1:13" x14ac:dyDescent="0.25">
      <c r="F15" s="93" t="str">
        <f t="shared" si="0"/>
        <v/>
      </c>
      <c r="G15" s="31">
        <f t="shared" si="1"/>
        <v>0</v>
      </c>
      <c r="H15" s="31" t="str">
        <f t="shared" si="2"/>
        <v xml:space="preserve"> </v>
      </c>
      <c r="I15" s="92" t="s">
        <v>387</v>
      </c>
      <c r="J15" s="31">
        <v>92701000</v>
      </c>
      <c r="M15" s="31">
        <f t="shared" si="3"/>
        <v>0</v>
      </c>
    </row>
    <row r="16" spans="1:13" x14ac:dyDescent="0.25">
      <c r="F16" s="93" t="str">
        <f t="shared" si="0"/>
        <v/>
      </c>
      <c r="G16" s="31">
        <f t="shared" si="1"/>
        <v>0</v>
      </c>
      <c r="H16" s="31" t="str">
        <f t="shared" si="2"/>
        <v xml:space="preserve"> </v>
      </c>
      <c r="I16" s="92" t="s">
        <v>387</v>
      </c>
      <c r="J16" s="31">
        <v>92701000</v>
      </c>
      <c r="M16" s="31">
        <f t="shared" si="3"/>
        <v>0</v>
      </c>
    </row>
    <row r="17" spans="6:13" x14ac:dyDescent="0.25">
      <c r="F17" s="93" t="str">
        <f t="shared" si="0"/>
        <v/>
      </c>
      <c r="G17" s="31">
        <f t="shared" si="1"/>
        <v>0</v>
      </c>
      <c r="H17" s="31" t="str">
        <f t="shared" si="2"/>
        <v xml:space="preserve"> </v>
      </c>
      <c r="I17" s="92" t="s">
        <v>387</v>
      </c>
      <c r="J17" s="31">
        <v>92701000</v>
      </c>
      <c r="M17" s="31">
        <f t="shared" si="3"/>
        <v>0</v>
      </c>
    </row>
    <row r="18" spans="6:13" x14ac:dyDescent="0.25">
      <c r="F18" s="93" t="str">
        <f t="shared" si="0"/>
        <v/>
      </c>
      <c r="G18" s="31">
        <f t="shared" si="1"/>
        <v>0</v>
      </c>
      <c r="H18" s="31" t="str">
        <f t="shared" si="2"/>
        <v xml:space="preserve"> </v>
      </c>
      <c r="I18" s="92" t="s">
        <v>387</v>
      </c>
      <c r="J18" s="31">
        <v>92701000</v>
      </c>
      <c r="M18" s="31">
        <f t="shared" si="3"/>
        <v>0</v>
      </c>
    </row>
    <row r="19" spans="6:13" x14ac:dyDescent="0.25">
      <c r="F19" s="93" t="str">
        <f t="shared" si="0"/>
        <v/>
      </c>
      <c r="G19" s="31">
        <f t="shared" si="1"/>
        <v>0</v>
      </c>
      <c r="H19" s="31" t="str">
        <f t="shared" si="2"/>
        <v xml:space="preserve"> </v>
      </c>
      <c r="I19" s="92" t="s">
        <v>387</v>
      </c>
      <c r="J19" s="31">
        <v>92701000</v>
      </c>
      <c r="M19" s="31">
        <f t="shared" si="3"/>
        <v>0</v>
      </c>
    </row>
    <row r="20" spans="6:13" x14ac:dyDescent="0.25">
      <c r="F20" s="93" t="str">
        <f t="shared" si="0"/>
        <v/>
      </c>
      <c r="G20" s="31">
        <f t="shared" si="1"/>
        <v>0</v>
      </c>
      <c r="H20" s="31" t="str">
        <f t="shared" si="2"/>
        <v xml:space="preserve"> </v>
      </c>
      <c r="I20" s="92" t="s">
        <v>387</v>
      </c>
      <c r="J20" s="31">
        <v>92701000</v>
      </c>
      <c r="M20" s="31">
        <f t="shared" si="3"/>
        <v>0</v>
      </c>
    </row>
    <row r="21" spans="6:13" x14ac:dyDescent="0.25">
      <c r="F21" s="93" t="str">
        <f t="shared" si="0"/>
        <v/>
      </c>
      <c r="G21" s="31">
        <f t="shared" ref="G21:G84" si="4">B21</f>
        <v>0</v>
      </c>
      <c r="H21" s="31" t="str">
        <f t="shared" si="2"/>
        <v xml:space="preserve"> </v>
      </c>
      <c r="I21" s="92" t="s">
        <v>387</v>
      </c>
      <c r="J21" s="31">
        <v>92701000</v>
      </c>
      <c r="M21" s="31">
        <f t="shared" si="3"/>
        <v>0</v>
      </c>
    </row>
    <row r="22" spans="6:13" x14ac:dyDescent="0.25">
      <c r="F22" s="93" t="str">
        <f t="shared" si="0"/>
        <v/>
      </c>
      <c r="G22" s="31">
        <f t="shared" si="4"/>
        <v>0</v>
      </c>
      <c r="H22" s="31" t="str">
        <f t="shared" si="2"/>
        <v xml:space="preserve"> </v>
      </c>
      <c r="I22" s="92" t="s">
        <v>387</v>
      </c>
      <c r="J22" s="31">
        <v>92701000</v>
      </c>
      <c r="M22" s="31">
        <f t="shared" si="3"/>
        <v>0</v>
      </c>
    </row>
    <row r="23" spans="6:13" x14ac:dyDescent="0.25">
      <c r="F23" s="93" t="str">
        <f t="shared" si="0"/>
        <v/>
      </c>
      <c r="G23" s="31">
        <f t="shared" si="4"/>
        <v>0</v>
      </c>
      <c r="H23" s="31" t="str">
        <f t="shared" si="2"/>
        <v xml:space="preserve"> </v>
      </c>
      <c r="I23" s="92" t="s">
        <v>387</v>
      </c>
      <c r="J23" s="31">
        <v>92701000</v>
      </c>
      <c r="M23" s="31">
        <f t="shared" si="3"/>
        <v>0</v>
      </c>
    </row>
    <row r="24" spans="6:13" x14ac:dyDescent="0.25">
      <c r="F24" s="93" t="str">
        <f t="shared" si="0"/>
        <v/>
      </c>
      <c r="G24" s="31">
        <f t="shared" si="4"/>
        <v>0</v>
      </c>
      <c r="H24" s="31" t="str">
        <f t="shared" si="2"/>
        <v xml:space="preserve"> </v>
      </c>
      <c r="I24" s="92" t="s">
        <v>387</v>
      </c>
      <c r="J24" s="31">
        <v>92701000</v>
      </c>
      <c r="M24" s="31">
        <f t="shared" si="3"/>
        <v>0</v>
      </c>
    </row>
    <row r="25" spans="6:13" x14ac:dyDescent="0.25">
      <c r="F25" s="93" t="str">
        <f t="shared" si="0"/>
        <v/>
      </c>
      <c r="G25" s="31">
        <f t="shared" si="4"/>
        <v>0</v>
      </c>
      <c r="H25" s="31" t="str">
        <f t="shared" si="2"/>
        <v xml:space="preserve"> </v>
      </c>
      <c r="I25" s="92" t="s">
        <v>387</v>
      </c>
      <c r="J25" s="31">
        <v>92701000</v>
      </c>
      <c r="M25" s="31">
        <f t="shared" si="3"/>
        <v>0</v>
      </c>
    </row>
    <row r="26" spans="6:13" x14ac:dyDescent="0.25">
      <c r="F26" s="93" t="str">
        <f t="shared" si="0"/>
        <v/>
      </c>
      <c r="G26" s="31">
        <f t="shared" si="4"/>
        <v>0</v>
      </c>
      <c r="H26" s="31" t="str">
        <f t="shared" si="2"/>
        <v xml:space="preserve"> </v>
      </c>
      <c r="I26" s="92" t="s">
        <v>387</v>
      </c>
      <c r="J26" s="31">
        <v>92701000</v>
      </c>
      <c r="M26" s="31">
        <f t="shared" si="3"/>
        <v>0</v>
      </c>
    </row>
    <row r="27" spans="6:13" x14ac:dyDescent="0.25">
      <c r="F27" s="93" t="str">
        <f t="shared" si="0"/>
        <v/>
      </c>
      <c r="G27" s="31">
        <f t="shared" si="4"/>
        <v>0</v>
      </c>
      <c r="H27" s="31" t="str">
        <f t="shared" si="2"/>
        <v xml:space="preserve"> </v>
      </c>
      <c r="I27" s="92" t="s">
        <v>387</v>
      </c>
      <c r="J27" s="31">
        <v>92701000</v>
      </c>
      <c r="M27" s="31">
        <f t="shared" si="3"/>
        <v>0</v>
      </c>
    </row>
    <row r="28" spans="6:13" x14ac:dyDescent="0.25">
      <c r="F28" s="93" t="str">
        <f t="shared" si="0"/>
        <v/>
      </c>
      <c r="G28" s="31">
        <f t="shared" si="4"/>
        <v>0</v>
      </c>
      <c r="H28" s="31" t="str">
        <f t="shared" si="2"/>
        <v xml:space="preserve"> </v>
      </c>
      <c r="I28" s="92" t="s">
        <v>387</v>
      </c>
      <c r="J28" s="31">
        <v>92701000</v>
      </c>
      <c r="M28" s="31">
        <f t="shared" si="3"/>
        <v>0</v>
      </c>
    </row>
    <row r="29" spans="6:13" x14ac:dyDescent="0.25">
      <c r="F29" s="93" t="str">
        <f t="shared" si="0"/>
        <v/>
      </c>
      <c r="G29" s="31">
        <f t="shared" si="4"/>
        <v>0</v>
      </c>
      <c r="H29" s="31" t="str">
        <f t="shared" si="2"/>
        <v xml:space="preserve"> </v>
      </c>
      <c r="I29" s="92" t="s">
        <v>387</v>
      </c>
      <c r="J29" s="31">
        <v>92701000</v>
      </c>
      <c r="M29" s="31">
        <f t="shared" si="3"/>
        <v>0</v>
      </c>
    </row>
    <row r="30" spans="6:13" x14ac:dyDescent="0.25">
      <c r="F30" s="93" t="str">
        <f t="shared" si="0"/>
        <v/>
      </c>
      <c r="G30" s="31">
        <f t="shared" si="4"/>
        <v>0</v>
      </c>
      <c r="H30" s="31" t="str">
        <f t="shared" si="2"/>
        <v xml:space="preserve"> </v>
      </c>
      <c r="I30" s="92" t="s">
        <v>387</v>
      </c>
      <c r="J30" s="31">
        <v>92701000</v>
      </c>
      <c r="M30" s="31">
        <f t="shared" si="3"/>
        <v>0</v>
      </c>
    </row>
    <row r="31" spans="6:13" x14ac:dyDescent="0.25">
      <c r="F31" s="93" t="str">
        <f t="shared" si="0"/>
        <v/>
      </c>
      <c r="G31" s="31">
        <f t="shared" si="4"/>
        <v>0</v>
      </c>
      <c r="H31" s="31" t="str">
        <f t="shared" si="2"/>
        <v xml:space="preserve"> </v>
      </c>
      <c r="I31" s="92" t="s">
        <v>387</v>
      </c>
      <c r="J31" s="31">
        <v>92701000</v>
      </c>
      <c r="M31" s="31">
        <f t="shared" si="3"/>
        <v>0</v>
      </c>
    </row>
    <row r="32" spans="6:13" x14ac:dyDescent="0.25">
      <c r="F32" s="93" t="str">
        <f t="shared" si="0"/>
        <v/>
      </c>
      <c r="G32" s="31">
        <f t="shared" si="4"/>
        <v>0</v>
      </c>
      <c r="H32" s="31" t="str">
        <f t="shared" si="2"/>
        <v xml:space="preserve"> </v>
      </c>
      <c r="I32" s="92" t="s">
        <v>387</v>
      </c>
      <c r="J32" s="31">
        <v>92701000</v>
      </c>
      <c r="M32" s="31">
        <f t="shared" si="3"/>
        <v>0</v>
      </c>
    </row>
    <row r="33" spans="6:13" x14ac:dyDescent="0.25">
      <c r="F33" s="93" t="str">
        <f t="shared" si="0"/>
        <v/>
      </c>
      <c r="G33" s="31">
        <f t="shared" si="4"/>
        <v>0</v>
      </c>
      <c r="H33" s="31" t="str">
        <f t="shared" si="2"/>
        <v xml:space="preserve"> </v>
      </c>
      <c r="I33" s="92" t="s">
        <v>387</v>
      </c>
      <c r="J33" s="31">
        <v>92701000</v>
      </c>
      <c r="M33" s="31">
        <f t="shared" si="3"/>
        <v>0</v>
      </c>
    </row>
    <row r="34" spans="6:13" x14ac:dyDescent="0.25">
      <c r="F34" s="93" t="str">
        <f t="shared" si="0"/>
        <v/>
      </c>
      <c r="G34" s="31">
        <f t="shared" si="4"/>
        <v>0</v>
      </c>
      <c r="H34" s="31" t="str">
        <f t="shared" si="2"/>
        <v xml:space="preserve"> </v>
      </c>
      <c r="I34" s="92" t="s">
        <v>387</v>
      </c>
      <c r="J34" s="31">
        <v>92701000</v>
      </c>
      <c r="M34" s="31">
        <f t="shared" si="3"/>
        <v>0</v>
      </c>
    </row>
    <row r="35" spans="6:13" x14ac:dyDescent="0.25">
      <c r="F35" s="93" t="str">
        <f t="shared" si="0"/>
        <v/>
      </c>
      <c r="G35" s="31">
        <f t="shared" si="4"/>
        <v>0</v>
      </c>
      <c r="H35" s="31" t="str">
        <f t="shared" si="2"/>
        <v xml:space="preserve"> </v>
      </c>
      <c r="I35" s="92" t="s">
        <v>387</v>
      </c>
      <c r="J35" s="31">
        <v>92701000</v>
      </c>
      <c r="M35" s="31">
        <f t="shared" si="3"/>
        <v>0</v>
      </c>
    </row>
    <row r="36" spans="6:13" x14ac:dyDescent="0.25">
      <c r="F36" s="93" t="str">
        <f t="shared" si="0"/>
        <v/>
      </c>
      <c r="G36" s="31">
        <f t="shared" si="4"/>
        <v>0</v>
      </c>
      <c r="H36" s="31" t="str">
        <f t="shared" si="2"/>
        <v xml:space="preserve"> </v>
      </c>
      <c r="I36" s="92" t="s">
        <v>387</v>
      </c>
      <c r="J36" s="31">
        <v>92701000</v>
      </c>
      <c r="M36" s="31">
        <f t="shared" si="3"/>
        <v>0</v>
      </c>
    </row>
    <row r="37" spans="6:13" x14ac:dyDescent="0.25">
      <c r="F37" s="93" t="str">
        <f t="shared" si="0"/>
        <v/>
      </c>
      <c r="G37" s="31">
        <f t="shared" si="4"/>
        <v>0</v>
      </c>
      <c r="H37" s="31" t="str">
        <f t="shared" si="2"/>
        <v xml:space="preserve"> </v>
      </c>
      <c r="I37" s="92" t="s">
        <v>387</v>
      </c>
      <c r="J37" s="31">
        <v>92701000</v>
      </c>
      <c r="M37" s="31">
        <f t="shared" si="3"/>
        <v>0</v>
      </c>
    </row>
    <row r="38" spans="6:13" x14ac:dyDescent="0.25">
      <c r="F38" s="93" t="str">
        <f t="shared" si="0"/>
        <v/>
      </c>
      <c r="G38" s="31">
        <f t="shared" si="4"/>
        <v>0</v>
      </c>
      <c r="H38" s="31" t="str">
        <f t="shared" si="2"/>
        <v xml:space="preserve"> </v>
      </c>
      <c r="I38" s="92" t="s">
        <v>387</v>
      </c>
      <c r="J38" s="31">
        <v>92701000</v>
      </c>
      <c r="M38" s="31">
        <f t="shared" ref="M38:M101" si="5">E38</f>
        <v>0</v>
      </c>
    </row>
    <row r="39" spans="6:13" x14ac:dyDescent="0.25">
      <c r="F39" s="93" t="str">
        <f t="shared" si="0"/>
        <v/>
      </c>
      <c r="G39" s="31">
        <f t="shared" si="4"/>
        <v>0</v>
      </c>
      <c r="H39" s="31" t="str">
        <f t="shared" si="2"/>
        <v xml:space="preserve"> </v>
      </c>
      <c r="I39" s="92" t="s">
        <v>387</v>
      </c>
      <c r="J39" s="31">
        <v>92701000</v>
      </c>
      <c r="M39" s="31">
        <f t="shared" si="5"/>
        <v>0</v>
      </c>
    </row>
    <row r="40" spans="6:13" x14ac:dyDescent="0.25">
      <c r="F40" s="93" t="str">
        <f t="shared" si="0"/>
        <v/>
      </c>
      <c r="G40" s="31">
        <f t="shared" si="4"/>
        <v>0</v>
      </c>
      <c r="H40" s="31" t="str">
        <f t="shared" si="2"/>
        <v xml:space="preserve"> </v>
      </c>
      <c r="I40" s="92" t="s">
        <v>387</v>
      </c>
      <c r="J40" s="31">
        <v>92701000</v>
      </c>
      <c r="M40" s="31">
        <f t="shared" si="5"/>
        <v>0</v>
      </c>
    </row>
    <row r="41" spans="6:13" x14ac:dyDescent="0.25">
      <c r="F41" s="93" t="str">
        <f t="shared" ref="F41:F104" si="6">TRIM(A41)</f>
        <v/>
      </c>
      <c r="G41" s="31">
        <f t="shared" si="4"/>
        <v>0</v>
      </c>
      <c r="H41" s="31" t="str">
        <f t="shared" ref="H41:H104" si="7">CONCATENATE(TRIM(C41)," ",D41)</f>
        <v xml:space="preserve"> </v>
      </c>
      <c r="I41" s="92" t="s">
        <v>387</v>
      </c>
      <c r="J41" s="31">
        <v>92701000</v>
      </c>
      <c r="M41" s="31">
        <f t="shared" si="5"/>
        <v>0</v>
      </c>
    </row>
    <row r="42" spans="6:13" x14ac:dyDescent="0.25">
      <c r="F42" s="93" t="str">
        <f t="shared" si="6"/>
        <v/>
      </c>
      <c r="G42" s="31">
        <f t="shared" si="4"/>
        <v>0</v>
      </c>
      <c r="H42" s="31" t="str">
        <f t="shared" si="7"/>
        <v xml:space="preserve"> </v>
      </c>
      <c r="I42" s="92" t="s">
        <v>387</v>
      </c>
      <c r="J42" s="31">
        <v>92701000</v>
      </c>
      <c r="M42" s="31">
        <f t="shared" si="5"/>
        <v>0</v>
      </c>
    </row>
    <row r="43" spans="6:13" x14ac:dyDescent="0.25">
      <c r="F43" s="93" t="str">
        <f t="shared" si="6"/>
        <v/>
      </c>
      <c r="G43" s="31">
        <f t="shared" si="4"/>
        <v>0</v>
      </c>
      <c r="H43" s="31" t="str">
        <f t="shared" si="7"/>
        <v xml:space="preserve"> </v>
      </c>
      <c r="I43" s="92" t="s">
        <v>387</v>
      </c>
      <c r="J43" s="31">
        <v>92701000</v>
      </c>
      <c r="M43" s="31">
        <f t="shared" si="5"/>
        <v>0</v>
      </c>
    </row>
    <row r="44" spans="6:13" x14ac:dyDescent="0.25">
      <c r="F44" s="93" t="str">
        <f t="shared" si="6"/>
        <v/>
      </c>
      <c r="G44" s="31">
        <f t="shared" si="4"/>
        <v>0</v>
      </c>
      <c r="H44" s="31" t="str">
        <f t="shared" si="7"/>
        <v xml:space="preserve"> </v>
      </c>
      <c r="I44" s="92" t="s">
        <v>387</v>
      </c>
      <c r="J44" s="31">
        <v>92701000</v>
      </c>
      <c r="M44" s="31">
        <f t="shared" si="5"/>
        <v>0</v>
      </c>
    </row>
    <row r="45" spans="6:13" x14ac:dyDescent="0.25">
      <c r="F45" s="93" t="str">
        <f t="shared" si="6"/>
        <v/>
      </c>
      <c r="G45" s="31">
        <f t="shared" si="4"/>
        <v>0</v>
      </c>
      <c r="H45" s="31" t="str">
        <f t="shared" si="7"/>
        <v xml:space="preserve"> </v>
      </c>
      <c r="I45" s="92" t="s">
        <v>387</v>
      </c>
      <c r="J45" s="31">
        <v>92701000</v>
      </c>
      <c r="M45" s="31">
        <f t="shared" si="5"/>
        <v>0</v>
      </c>
    </row>
    <row r="46" spans="6:13" x14ac:dyDescent="0.25">
      <c r="F46" s="93" t="str">
        <f t="shared" si="6"/>
        <v/>
      </c>
      <c r="G46" s="31">
        <f t="shared" si="4"/>
        <v>0</v>
      </c>
      <c r="H46" s="31" t="str">
        <f t="shared" si="7"/>
        <v xml:space="preserve"> </v>
      </c>
      <c r="I46" s="92" t="s">
        <v>387</v>
      </c>
      <c r="J46" s="31">
        <v>92701000</v>
      </c>
      <c r="M46" s="31">
        <f t="shared" si="5"/>
        <v>0</v>
      </c>
    </row>
    <row r="47" spans="6:13" x14ac:dyDescent="0.25">
      <c r="F47" s="93" t="str">
        <f t="shared" si="6"/>
        <v/>
      </c>
      <c r="G47" s="31">
        <f t="shared" si="4"/>
        <v>0</v>
      </c>
      <c r="H47" s="31" t="str">
        <f t="shared" si="7"/>
        <v xml:space="preserve"> </v>
      </c>
      <c r="I47" s="92" t="s">
        <v>387</v>
      </c>
      <c r="J47" s="31">
        <v>92701000</v>
      </c>
      <c r="M47" s="31">
        <f t="shared" si="5"/>
        <v>0</v>
      </c>
    </row>
    <row r="48" spans="6:13" x14ac:dyDescent="0.25">
      <c r="F48" s="93" t="str">
        <f t="shared" si="6"/>
        <v/>
      </c>
      <c r="G48" s="31">
        <f t="shared" si="4"/>
        <v>0</v>
      </c>
      <c r="H48" s="31" t="str">
        <f t="shared" si="7"/>
        <v xml:space="preserve"> </v>
      </c>
      <c r="I48" s="92" t="s">
        <v>387</v>
      </c>
      <c r="J48" s="31">
        <v>92701000</v>
      </c>
      <c r="M48" s="31">
        <f t="shared" si="5"/>
        <v>0</v>
      </c>
    </row>
    <row r="49" spans="6:13" x14ac:dyDescent="0.25">
      <c r="F49" s="93" t="str">
        <f t="shared" si="6"/>
        <v/>
      </c>
      <c r="G49" s="31">
        <f t="shared" si="4"/>
        <v>0</v>
      </c>
      <c r="H49" s="31" t="str">
        <f t="shared" si="7"/>
        <v xml:space="preserve"> </v>
      </c>
      <c r="I49" s="92" t="s">
        <v>387</v>
      </c>
      <c r="J49" s="31">
        <v>92701000</v>
      </c>
      <c r="M49" s="31">
        <f t="shared" si="5"/>
        <v>0</v>
      </c>
    </row>
    <row r="50" spans="6:13" x14ac:dyDescent="0.25">
      <c r="F50" s="93" t="str">
        <f t="shared" si="6"/>
        <v/>
      </c>
      <c r="G50" s="31">
        <f t="shared" si="4"/>
        <v>0</v>
      </c>
      <c r="H50" s="31" t="str">
        <f t="shared" si="7"/>
        <v xml:space="preserve"> </v>
      </c>
      <c r="I50" s="92" t="s">
        <v>387</v>
      </c>
      <c r="J50" s="31">
        <v>92701000</v>
      </c>
      <c r="M50" s="31">
        <f t="shared" si="5"/>
        <v>0</v>
      </c>
    </row>
    <row r="51" spans="6:13" x14ac:dyDescent="0.25">
      <c r="F51" s="93" t="str">
        <f t="shared" si="6"/>
        <v/>
      </c>
      <c r="G51" s="31">
        <f t="shared" si="4"/>
        <v>0</v>
      </c>
      <c r="H51" s="31" t="str">
        <f t="shared" si="7"/>
        <v xml:space="preserve"> </v>
      </c>
      <c r="I51" s="92" t="s">
        <v>387</v>
      </c>
      <c r="J51" s="31">
        <v>92701000</v>
      </c>
      <c r="M51" s="31">
        <f t="shared" si="5"/>
        <v>0</v>
      </c>
    </row>
    <row r="52" spans="6:13" x14ac:dyDescent="0.25">
      <c r="F52" s="93" t="str">
        <f t="shared" si="6"/>
        <v/>
      </c>
      <c r="G52" s="31">
        <f t="shared" si="4"/>
        <v>0</v>
      </c>
      <c r="H52" s="31" t="str">
        <f t="shared" si="7"/>
        <v xml:space="preserve"> </v>
      </c>
      <c r="I52" s="92" t="s">
        <v>387</v>
      </c>
      <c r="J52" s="31">
        <v>92701000</v>
      </c>
      <c r="M52" s="31">
        <f t="shared" si="5"/>
        <v>0</v>
      </c>
    </row>
    <row r="53" spans="6:13" x14ac:dyDescent="0.25">
      <c r="F53" s="93" t="str">
        <f t="shared" si="6"/>
        <v/>
      </c>
      <c r="G53" s="31">
        <f t="shared" si="4"/>
        <v>0</v>
      </c>
      <c r="H53" s="31" t="str">
        <f t="shared" si="7"/>
        <v xml:space="preserve"> </v>
      </c>
      <c r="I53" s="92" t="s">
        <v>387</v>
      </c>
      <c r="J53" s="31">
        <v>92701000</v>
      </c>
      <c r="M53" s="31">
        <f t="shared" si="5"/>
        <v>0</v>
      </c>
    </row>
    <row r="54" spans="6:13" x14ac:dyDescent="0.25">
      <c r="F54" s="93" t="str">
        <f t="shared" si="6"/>
        <v/>
      </c>
      <c r="G54" s="31">
        <f t="shared" si="4"/>
        <v>0</v>
      </c>
      <c r="H54" s="31" t="str">
        <f t="shared" si="7"/>
        <v xml:space="preserve"> </v>
      </c>
      <c r="I54" s="92" t="s">
        <v>387</v>
      </c>
      <c r="J54" s="31">
        <v>92701000</v>
      </c>
      <c r="M54" s="31">
        <f t="shared" si="5"/>
        <v>0</v>
      </c>
    </row>
    <row r="55" spans="6:13" x14ac:dyDescent="0.25">
      <c r="F55" s="93" t="str">
        <f t="shared" si="6"/>
        <v/>
      </c>
      <c r="G55" s="31">
        <f t="shared" si="4"/>
        <v>0</v>
      </c>
      <c r="H55" s="31" t="str">
        <f t="shared" si="7"/>
        <v xml:space="preserve"> </v>
      </c>
      <c r="I55" s="92" t="s">
        <v>387</v>
      </c>
      <c r="J55" s="31">
        <v>92701000</v>
      </c>
      <c r="M55" s="31">
        <f t="shared" si="5"/>
        <v>0</v>
      </c>
    </row>
    <row r="56" spans="6:13" x14ac:dyDescent="0.25">
      <c r="F56" s="93" t="str">
        <f t="shared" si="6"/>
        <v/>
      </c>
      <c r="G56" s="31">
        <f t="shared" si="4"/>
        <v>0</v>
      </c>
      <c r="H56" s="31" t="str">
        <f t="shared" si="7"/>
        <v xml:space="preserve"> </v>
      </c>
      <c r="I56" s="92" t="s">
        <v>387</v>
      </c>
      <c r="J56" s="31">
        <v>92701000</v>
      </c>
      <c r="M56" s="31">
        <f t="shared" si="5"/>
        <v>0</v>
      </c>
    </row>
    <row r="57" spans="6:13" x14ac:dyDescent="0.25">
      <c r="F57" s="93" t="str">
        <f t="shared" si="6"/>
        <v/>
      </c>
      <c r="G57" s="31">
        <f t="shared" si="4"/>
        <v>0</v>
      </c>
      <c r="H57" s="31" t="str">
        <f t="shared" si="7"/>
        <v xml:space="preserve"> </v>
      </c>
      <c r="I57" s="92" t="s">
        <v>387</v>
      </c>
      <c r="J57" s="31">
        <v>92701000</v>
      </c>
      <c r="M57" s="31">
        <f t="shared" si="5"/>
        <v>0</v>
      </c>
    </row>
    <row r="58" spans="6:13" x14ac:dyDescent="0.25">
      <c r="F58" s="93" t="str">
        <f t="shared" si="6"/>
        <v/>
      </c>
      <c r="G58" s="31">
        <f t="shared" si="4"/>
        <v>0</v>
      </c>
      <c r="H58" s="31" t="str">
        <f t="shared" si="7"/>
        <v xml:space="preserve"> </v>
      </c>
      <c r="I58" s="92" t="s">
        <v>387</v>
      </c>
      <c r="J58" s="31">
        <v>92701000</v>
      </c>
      <c r="M58" s="31">
        <f t="shared" si="5"/>
        <v>0</v>
      </c>
    </row>
    <row r="59" spans="6:13" x14ac:dyDescent="0.25">
      <c r="F59" s="93" t="str">
        <f t="shared" si="6"/>
        <v/>
      </c>
      <c r="G59" s="31">
        <f t="shared" si="4"/>
        <v>0</v>
      </c>
      <c r="H59" s="31" t="str">
        <f t="shared" si="7"/>
        <v xml:space="preserve"> </v>
      </c>
      <c r="I59" s="92" t="s">
        <v>387</v>
      </c>
      <c r="J59" s="31">
        <v>92701000</v>
      </c>
      <c r="M59" s="31">
        <f t="shared" si="5"/>
        <v>0</v>
      </c>
    </row>
    <row r="60" spans="6:13" x14ac:dyDescent="0.25">
      <c r="F60" s="93" t="str">
        <f t="shared" si="6"/>
        <v/>
      </c>
      <c r="G60" s="31">
        <f t="shared" si="4"/>
        <v>0</v>
      </c>
      <c r="H60" s="31" t="str">
        <f t="shared" si="7"/>
        <v xml:space="preserve"> </v>
      </c>
      <c r="I60" s="92" t="s">
        <v>387</v>
      </c>
      <c r="J60" s="31">
        <v>92701000</v>
      </c>
      <c r="M60" s="31">
        <f t="shared" si="5"/>
        <v>0</v>
      </c>
    </row>
    <row r="61" spans="6:13" x14ac:dyDescent="0.25">
      <c r="F61" s="93" t="str">
        <f t="shared" si="6"/>
        <v/>
      </c>
      <c r="G61" s="31">
        <f t="shared" si="4"/>
        <v>0</v>
      </c>
      <c r="H61" s="31" t="str">
        <f t="shared" si="7"/>
        <v xml:space="preserve"> </v>
      </c>
      <c r="I61" s="92" t="s">
        <v>387</v>
      </c>
      <c r="J61" s="31">
        <v>92701000</v>
      </c>
      <c r="M61" s="31">
        <f t="shared" si="5"/>
        <v>0</v>
      </c>
    </row>
    <row r="62" spans="6:13" x14ac:dyDescent="0.25">
      <c r="F62" s="93" t="str">
        <f t="shared" si="6"/>
        <v/>
      </c>
      <c r="G62" s="31">
        <f t="shared" si="4"/>
        <v>0</v>
      </c>
      <c r="H62" s="31" t="str">
        <f t="shared" si="7"/>
        <v xml:space="preserve"> </v>
      </c>
      <c r="I62" s="92" t="s">
        <v>387</v>
      </c>
      <c r="J62" s="31">
        <v>92701000</v>
      </c>
      <c r="M62" s="31">
        <f t="shared" si="5"/>
        <v>0</v>
      </c>
    </row>
    <row r="63" spans="6:13" x14ac:dyDescent="0.25">
      <c r="F63" s="93" t="str">
        <f t="shared" si="6"/>
        <v/>
      </c>
      <c r="G63" s="31">
        <f t="shared" si="4"/>
        <v>0</v>
      </c>
      <c r="H63" s="31" t="str">
        <f t="shared" si="7"/>
        <v xml:space="preserve"> </v>
      </c>
      <c r="I63" s="92" t="s">
        <v>387</v>
      </c>
      <c r="J63" s="31">
        <v>92701000</v>
      </c>
      <c r="M63" s="31">
        <f t="shared" si="5"/>
        <v>0</v>
      </c>
    </row>
    <row r="64" spans="6:13" x14ac:dyDescent="0.25">
      <c r="F64" s="93" t="str">
        <f t="shared" si="6"/>
        <v/>
      </c>
      <c r="G64" s="31">
        <f t="shared" si="4"/>
        <v>0</v>
      </c>
      <c r="H64" s="31" t="str">
        <f t="shared" si="7"/>
        <v xml:space="preserve"> </v>
      </c>
      <c r="I64" s="92" t="s">
        <v>387</v>
      </c>
      <c r="J64" s="31">
        <v>92701000</v>
      </c>
      <c r="M64" s="31">
        <f t="shared" si="5"/>
        <v>0</v>
      </c>
    </row>
    <row r="65" spans="6:13" x14ac:dyDescent="0.25">
      <c r="F65" s="93" t="str">
        <f t="shared" si="6"/>
        <v/>
      </c>
      <c r="G65" s="31">
        <f t="shared" si="4"/>
        <v>0</v>
      </c>
      <c r="H65" s="31" t="str">
        <f t="shared" si="7"/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3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3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3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3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3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3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3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3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3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3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3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3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3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3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3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3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3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3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3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3" t="str">
        <f t="shared" si="6"/>
        <v/>
      </c>
      <c r="G85" s="31">
        <f t="shared" ref="G85:G148" si="8">B85</f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3" t="str">
        <f t="shared" si="6"/>
        <v/>
      </c>
      <c r="G86" s="31">
        <f t="shared" si="8"/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3" t="str">
        <f t="shared" si="6"/>
        <v/>
      </c>
      <c r="G87" s="31">
        <f t="shared" si="8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3" t="str">
        <f t="shared" si="6"/>
        <v/>
      </c>
      <c r="G88" s="31">
        <f t="shared" si="8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3" t="str">
        <f t="shared" si="6"/>
        <v/>
      </c>
      <c r="G89" s="31">
        <f t="shared" si="8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3" t="str">
        <f t="shared" si="6"/>
        <v/>
      </c>
      <c r="G90" s="31">
        <f t="shared" si="8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3" t="str">
        <f t="shared" si="6"/>
        <v/>
      </c>
      <c r="G91" s="31">
        <f t="shared" si="8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3" t="str">
        <f t="shared" si="6"/>
        <v/>
      </c>
      <c r="G92" s="31">
        <f t="shared" si="8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3" t="str">
        <f t="shared" si="6"/>
        <v/>
      </c>
      <c r="G93" s="31">
        <f t="shared" si="8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3" t="str">
        <f t="shared" si="6"/>
        <v/>
      </c>
      <c r="G94" s="31">
        <f t="shared" si="8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3" t="str">
        <f t="shared" si="6"/>
        <v/>
      </c>
      <c r="G95" s="31">
        <f t="shared" si="8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3" t="str">
        <f t="shared" si="6"/>
        <v/>
      </c>
      <c r="G96" s="31">
        <f t="shared" si="8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3" t="str">
        <f t="shared" si="6"/>
        <v/>
      </c>
      <c r="G97" s="31">
        <f t="shared" si="8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3" t="str">
        <f t="shared" si="6"/>
        <v/>
      </c>
      <c r="G98" s="31">
        <f t="shared" si="8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3" t="str">
        <f t="shared" si="6"/>
        <v/>
      </c>
      <c r="G99" s="31">
        <f t="shared" si="8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3" t="str">
        <f t="shared" si="6"/>
        <v/>
      </c>
      <c r="G100" s="31">
        <f t="shared" si="8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3" t="str">
        <f t="shared" si="6"/>
        <v/>
      </c>
      <c r="G101" s="31">
        <f t="shared" si="8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3" t="str">
        <f t="shared" si="6"/>
        <v/>
      </c>
      <c r="G102" s="31">
        <f t="shared" si="8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ref="M102:M165" si="9">E102</f>
        <v>0</v>
      </c>
    </row>
    <row r="103" spans="6:13" x14ac:dyDescent="0.25">
      <c r="F103" s="93" t="str">
        <f t="shared" si="6"/>
        <v/>
      </c>
      <c r="G103" s="31">
        <f t="shared" si="8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si="9"/>
        <v>0</v>
      </c>
    </row>
    <row r="104" spans="6:13" x14ac:dyDescent="0.25">
      <c r="F104" s="93" t="str">
        <f t="shared" si="6"/>
        <v/>
      </c>
      <c r="G104" s="31">
        <f t="shared" si="8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9"/>
        <v>0</v>
      </c>
    </row>
    <row r="105" spans="6:13" x14ac:dyDescent="0.25">
      <c r="F105" s="93" t="str">
        <f t="shared" ref="F105:F168" si="10">TRIM(A105)</f>
        <v/>
      </c>
      <c r="G105" s="31">
        <f t="shared" si="8"/>
        <v>0</v>
      </c>
      <c r="H105" s="31" t="str">
        <f t="shared" ref="H105:H168" si="11">CONCATENATE(TRIM(C105)," ",D105)</f>
        <v xml:space="preserve"> </v>
      </c>
      <c r="I105" s="92" t="s">
        <v>387</v>
      </c>
      <c r="J105" s="31">
        <v>92701000</v>
      </c>
      <c r="M105" s="31">
        <f t="shared" si="9"/>
        <v>0</v>
      </c>
    </row>
    <row r="106" spans="6:13" x14ac:dyDescent="0.25">
      <c r="F106" s="93" t="str">
        <f t="shared" si="10"/>
        <v/>
      </c>
      <c r="G106" s="31">
        <f t="shared" si="8"/>
        <v>0</v>
      </c>
      <c r="H106" s="31" t="str">
        <f t="shared" si="11"/>
        <v xml:space="preserve"> </v>
      </c>
      <c r="I106" s="92" t="s">
        <v>387</v>
      </c>
      <c r="J106" s="31">
        <v>92701000</v>
      </c>
      <c r="M106" s="31">
        <f t="shared" si="9"/>
        <v>0</v>
      </c>
    </row>
    <row r="107" spans="6:13" x14ac:dyDescent="0.25">
      <c r="F107" s="93" t="str">
        <f t="shared" si="10"/>
        <v/>
      </c>
      <c r="G107" s="31">
        <f t="shared" si="8"/>
        <v>0</v>
      </c>
      <c r="H107" s="31" t="str">
        <f t="shared" si="11"/>
        <v xml:space="preserve"> </v>
      </c>
      <c r="I107" s="92" t="s">
        <v>387</v>
      </c>
      <c r="J107" s="31">
        <v>92701000</v>
      </c>
      <c r="M107" s="31">
        <f t="shared" si="9"/>
        <v>0</v>
      </c>
    </row>
    <row r="108" spans="6:13" x14ac:dyDescent="0.25">
      <c r="F108" s="93" t="str">
        <f t="shared" si="10"/>
        <v/>
      </c>
      <c r="G108" s="31">
        <f t="shared" si="8"/>
        <v>0</v>
      </c>
      <c r="H108" s="31" t="str">
        <f t="shared" si="11"/>
        <v xml:space="preserve"> </v>
      </c>
      <c r="I108" s="92" t="s">
        <v>387</v>
      </c>
      <c r="J108" s="31">
        <v>92701000</v>
      </c>
      <c r="M108" s="31">
        <f t="shared" si="9"/>
        <v>0</v>
      </c>
    </row>
    <row r="109" spans="6:13" x14ac:dyDescent="0.25">
      <c r="F109" s="93" t="str">
        <f t="shared" si="10"/>
        <v/>
      </c>
      <c r="G109" s="31">
        <f t="shared" si="8"/>
        <v>0</v>
      </c>
      <c r="H109" s="31" t="str">
        <f t="shared" si="11"/>
        <v xml:space="preserve"> </v>
      </c>
      <c r="I109" s="92" t="s">
        <v>387</v>
      </c>
      <c r="J109" s="31">
        <v>92701000</v>
      </c>
      <c r="M109" s="31">
        <f t="shared" si="9"/>
        <v>0</v>
      </c>
    </row>
    <row r="110" spans="6:13" x14ac:dyDescent="0.25">
      <c r="F110" s="93" t="str">
        <f t="shared" si="10"/>
        <v/>
      </c>
      <c r="G110" s="31">
        <f t="shared" si="8"/>
        <v>0</v>
      </c>
      <c r="H110" s="31" t="str">
        <f t="shared" si="11"/>
        <v xml:space="preserve"> </v>
      </c>
      <c r="I110" s="92" t="s">
        <v>387</v>
      </c>
      <c r="J110" s="31">
        <v>92701000</v>
      </c>
      <c r="M110" s="31">
        <f t="shared" si="9"/>
        <v>0</v>
      </c>
    </row>
    <row r="111" spans="6:13" x14ac:dyDescent="0.25">
      <c r="F111" s="93" t="str">
        <f t="shared" si="10"/>
        <v/>
      </c>
      <c r="G111" s="31">
        <f t="shared" si="8"/>
        <v>0</v>
      </c>
      <c r="H111" s="31" t="str">
        <f t="shared" si="11"/>
        <v xml:space="preserve"> </v>
      </c>
      <c r="I111" s="92" t="s">
        <v>387</v>
      </c>
      <c r="J111" s="31">
        <v>92701000</v>
      </c>
      <c r="M111" s="31">
        <f t="shared" si="9"/>
        <v>0</v>
      </c>
    </row>
    <row r="112" spans="6:13" x14ac:dyDescent="0.25">
      <c r="F112" s="93" t="str">
        <f t="shared" si="10"/>
        <v/>
      </c>
      <c r="G112" s="31">
        <f t="shared" si="8"/>
        <v>0</v>
      </c>
      <c r="H112" s="31" t="str">
        <f t="shared" si="11"/>
        <v xml:space="preserve"> </v>
      </c>
      <c r="I112" s="92" t="s">
        <v>387</v>
      </c>
      <c r="J112" s="31">
        <v>92701000</v>
      </c>
      <c r="M112" s="31">
        <f t="shared" si="9"/>
        <v>0</v>
      </c>
    </row>
    <row r="113" spans="6:13" x14ac:dyDescent="0.25">
      <c r="F113" s="93" t="str">
        <f t="shared" si="10"/>
        <v/>
      </c>
      <c r="G113" s="31">
        <f t="shared" si="8"/>
        <v>0</v>
      </c>
      <c r="H113" s="31" t="str">
        <f t="shared" si="11"/>
        <v xml:space="preserve"> </v>
      </c>
      <c r="I113" s="92" t="s">
        <v>387</v>
      </c>
      <c r="J113" s="31">
        <v>92701000</v>
      </c>
      <c r="M113" s="31">
        <f t="shared" si="9"/>
        <v>0</v>
      </c>
    </row>
    <row r="114" spans="6:13" x14ac:dyDescent="0.25">
      <c r="F114" s="93" t="str">
        <f t="shared" si="10"/>
        <v/>
      </c>
      <c r="G114" s="31">
        <f t="shared" si="8"/>
        <v>0</v>
      </c>
      <c r="H114" s="31" t="str">
        <f t="shared" si="11"/>
        <v xml:space="preserve"> </v>
      </c>
      <c r="I114" s="92" t="s">
        <v>387</v>
      </c>
      <c r="J114" s="31">
        <v>92701000</v>
      </c>
      <c r="M114" s="31">
        <f t="shared" si="9"/>
        <v>0</v>
      </c>
    </row>
    <row r="115" spans="6:13" x14ac:dyDescent="0.25">
      <c r="F115" s="93" t="str">
        <f t="shared" si="10"/>
        <v/>
      </c>
      <c r="G115" s="31">
        <f t="shared" si="8"/>
        <v>0</v>
      </c>
      <c r="H115" s="31" t="str">
        <f t="shared" si="11"/>
        <v xml:space="preserve"> </v>
      </c>
      <c r="I115" s="92" t="s">
        <v>387</v>
      </c>
      <c r="J115" s="31">
        <v>92701000</v>
      </c>
      <c r="M115" s="31">
        <f t="shared" si="9"/>
        <v>0</v>
      </c>
    </row>
    <row r="116" spans="6:13" x14ac:dyDescent="0.25">
      <c r="F116" s="93" t="str">
        <f t="shared" si="10"/>
        <v/>
      </c>
      <c r="G116" s="31">
        <f t="shared" si="8"/>
        <v>0</v>
      </c>
      <c r="H116" s="31" t="str">
        <f t="shared" si="11"/>
        <v xml:space="preserve"> </v>
      </c>
      <c r="I116" s="92" t="s">
        <v>387</v>
      </c>
      <c r="J116" s="31">
        <v>92701000</v>
      </c>
      <c r="M116" s="31">
        <f t="shared" si="9"/>
        <v>0</v>
      </c>
    </row>
    <row r="117" spans="6:13" x14ac:dyDescent="0.25">
      <c r="F117" s="93" t="str">
        <f t="shared" si="10"/>
        <v/>
      </c>
      <c r="G117" s="31">
        <f t="shared" si="8"/>
        <v>0</v>
      </c>
      <c r="H117" s="31" t="str">
        <f t="shared" si="11"/>
        <v xml:space="preserve"> </v>
      </c>
      <c r="I117" s="92" t="s">
        <v>387</v>
      </c>
      <c r="J117" s="31">
        <v>92701000</v>
      </c>
      <c r="M117" s="31">
        <f t="shared" si="9"/>
        <v>0</v>
      </c>
    </row>
    <row r="118" spans="6:13" x14ac:dyDescent="0.25">
      <c r="F118" s="93" t="str">
        <f t="shared" si="10"/>
        <v/>
      </c>
      <c r="G118" s="31">
        <f t="shared" si="8"/>
        <v>0</v>
      </c>
      <c r="H118" s="31" t="str">
        <f t="shared" si="11"/>
        <v xml:space="preserve"> </v>
      </c>
      <c r="I118" s="92" t="s">
        <v>387</v>
      </c>
      <c r="J118" s="31">
        <v>92701000</v>
      </c>
      <c r="M118" s="31">
        <f t="shared" si="9"/>
        <v>0</v>
      </c>
    </row>
    <row r="119" spans="6:13" x14ac:dyDescent="0.25">
      <c r="F119" s="93" t="str">
        <f t="shared" si="10"/>
        <v/>
      </c>
      <c r="G119" s="31">
        <f t="shared" si="8"/>
        <v>0</v>
      </c>
      <c r="H119" s="31" t="str">
        <f t="shared" si="11"/>
        <v xml:space="preserve"> </v>
      </c>
      <c r="I119" s="92" t="s">
        <v>387</v>
      </c>
      <c r="J119" s="31">
        <v>92701000</v>
      </c>
      <c r="M119" s="31">
        <f t="shared" si="9"/>
        <v>0</v>
      </c>
    </row>
    <row r="120" spans="6:13" x14ac:dyDescent="0.25">
      <c r="F120" s="93" t="str">
        <f t="shared" si="10"/>
        <v/>
      </c>
      <c r="G120" s="31">
        <f t="shared" si="8"/>
        <v>0</v>
      </c>
      <c r="H120" s="31" t="str">
        <f t="shared" si="11"/>
        <v xml:space="preserve"> </v>
      </c>
      <c r="I120" s="92" t="s">
        <v>387</v>
      </c>
      <c r="J120" s="31">
        <v>92701000</v>
      </c>
      <c r="M120" s="31">
        <f t="shared" si="9"/>
        <v>0</v>
      </c>
    </row>
    <row r="121" spans="6:13" x14ac:dyDescent="0.25">
      <c r="F121" s="93" t="str">
        <f t="shared" si="10"/>
        <v/>
      </c>
      <c r="G121" s="31">
        <f t="shared" si="8"/>
        <v>0</v>
      </c>
      <c r="H121" s="31" t="str">
        <f t="shared" si="11"/>
        <v xml:space="preserve"> </v>
      </c>
      <c r="I121" s="92" t="s">
        <v>387</v>
      </c>
      <c r="J121" s="31">
        <v>92701000</v>
      </c>
      <c r="M121" s="31">
        <f t="shared" si="9"/>
        <v>0</v>
      </c>
    </row>
    <row r="122" spans="6:13" x14ac:dyDescent="0.25">
      <c r="F122" s="93" t="str">
        <f t="shared" si="10"/>
        <v/>
      </c>
      <c r="G122" s="31">
        <f t="shared" si="8"/>
        <v>0</v>
      </c>
      <c r="H122" s="31" t="str">
        <f t="shared" si="11"/>
        <v xml:space="preserve"> </v>
      </c>
      <c r="I122" s="92" t="s">
        <v>387</v>
      </c>
      <c r="J122" s="31">
        <v>92701000</v>
      </c>
      <c r="M122" s="31">
        <f t="shared" si="9"/>
        <v>0</v>
      </c>
    </row>
    <row r="123" spans="6:13" x14ac:dyDescent="0.25">
      <c r="F123" s="93" t="str">
        <f t="shared" si="10"/>
        <v/>
      </c>
      <c r="G123" s="31">
        <f t="shared" si="8"/>
        <v>0</v>
      </c>
      <c r="H123" s="31" t="str">
        <f t="shared" si="11"/>
        <v xml:space="preserve"> </v>
      </c>
      <c r="I123" s="92" t="s">
        <v>387</v>
      </c>
      <c r="J123" s="31">
        <v>92701000</v>
      </c>
      <c r="M123" s="31">
        <f t="shared" si="9"/>
        <v>0</v>
      </c>
    </row>
    <row r="124" spans="6:13" x14ac:dyDescent="0.25">
      <c r="F124" s="93" t="str">
        <f t="shared" si="10"/>
        <v/>
      </c>
      <c r="G124" s="31">
        <f t="shared" si="8"/>
        <v>0</v>
      </c>
      <c r="H124" s="31" t="str">
        <f t="shared" si="11"/>
        <v xml:space="preserve"> </v>
      </c>
      <c r="I124" s="92" t="s">
        <v>387</v>
      </c>
      <c r="J124" s="31">
        <v>92701000</v>
      </c>
      <c r="M124" s="31">
        <f t="shared" si="9"/>
        <v>0</v>
      </c>
    </row>
    <row r="125" spans="6:13" x14ac:dyDescent="0.25">
      <c r="F125" s="93" t="str">
        <f t="shared" si="10"/>
        <v/>
      </c>
      <c r="G125" s="31">
        <f t="shared" si="8"/>
        <v>0</v>
      </c>
      <c r="H125" s="31" t="str">
        <f t="shared" si="11"/>
        <v xml:space="preserve"> </v>
      </c>
      <c r="I125" s="92" t="s">
        <v>387</v>
      </c>
      <c r="J125" s="31">
        <v>92701000</v>
      </c>
      <c r="M125" s="31">
        <f t="shared" si="9"/>
        <v>0</v>
      </c>
    </row>
    <row r="126" spans="6:13" x14ac:dyDescent="0.25">
      <c r="F126" s="93" t="str">
        <f t="shared" si="10"/>
        <v/>
      </c>
      <c r="G126" s="31">
        <f t="shared" si="8"/>
        <v>0</v>
      </c>
      <c r="H126" s="31" t="str">
        <f t="shared" si="11"/>
        <v xml:space="preserve"> </v>
      </c>
      <c r="I126" s="92" t="s">
        <v>387</v>
      </c>
      <c r="J126" s="31">
        <v>92701000</v>
      </c>
      <c r="M126" s="31">
        <f t="shared" si="9"/>
        <v>0</v>
      </c>
    </row>
    <row r="127" spans="6:13" x14ac:dyDescent="0.25">
      <c r="F127" s="93" t="str">
        <f t="shared" si="10"/>
        <v/>
      </c>
      <c r="G127" s="31">
        <f t="shared" si="8"/>
        <v>0</v>
      </c>
      <c r="H127" s="31" t="str">
        <f t="shared" si="11"/>
        <v xml:space="preserve"> </v>
      </c>
      <c r="I127" s="92" t="s">
        <v>387</v>
      </c>
      <c r="J127" s="31">
        <v>92701000</v>
      </c>
      <c r="M127" s="31">
        <f t="shared" si="9"/>
        <v>0</v>
      </c>
    </row>
    <row r="128" spans="6:13" x14ac:dyDescent="0.25">
      <c r="F128" s="93" t="str">
        <f t="shared" si="10"/>
        <v/>
      </c>
      <c r="G128" s="31">
        <f t="shared" si="8"/>
        <v>0</v>
      </c>
      <c r="H128" s="31" t="str">
        <f t="shared" si="11"/>
        <v xml:space="preserve"> </v>
      </c>
      <c r="I128" s="92" t="s">
        <v>387</v>
      </c>
      <c r="J128" s="31">
        <v>92701000</v>
      </c>
      <c r="M128" s="31">
        <f t="shared" si="9"/>
        <v>0</v>
      </c>
    </row>
    <row r="129" spans="6:13" x14ac:dyDescent="0.25">
      <c r="F129" s="93" t="str">
        <f t="shared" si="10"/>
        <v/>
      </c>
      <c r="G129" s="31">
        <f t="shared" si="8"/>
        <v>0</v>
      </c>
      <c r="H129" s="31" t="str">
        <f t="shared" si="11"/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3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3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3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3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3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3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3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3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3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3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3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3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3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3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3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3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3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3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3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3" t="str">
        <f t="shared" si="10"/>
        <v/>
      </c>
      <c r="G149" s="31">
        <f t="shared" ref="G149:G212" si="12">B149</f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3" t="str">
        <f t="shared" si="10"/>
        <v/>
      </c>
      <c r="G150" s="31">
        <f t="shared" si="12"/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3" t="str">
        <f t="shared" si="10"/>
        <v/>
      </c>
      <c r="G151" s="31">
        <f t="shared" si="12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3" t="str">
        <f t="shared" si="10"/>
        <v/>
      </c>
      <c r="G152" s="31">
        <f t="shared" si="12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3" t="str">
        <f t="shared" si="10"/>
        <v/>
      </c>
      <c r="G153" s="31">
        <f t="shared" si="12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3" t="str">
        <f t="shared" si="10"/>
        <v/>
      </c>
      <c r="G154" s="31">
        <f t="shared" si="12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3" t="str">
        <f t="shared" si="10"/>
        <v/>
      </c>
      <c r="G155" s="31">
        <f t="shared" si="12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3" t="str">
        <f t="shared" si="10"/>
        <v/>
      </c>
      <c r="G156" s="31">
        <f t="shared" si="12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3" t="str">
        <f t="shared" si="10"/>
        <v/>
      </c>
      <c r="G157" s="31">
        <f t="shared" si="12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3" t="str">
        <f t="shared" si="10"/>
        <v/>
      </c>
      <c r="G158" s="31">
        <f t="shared" si="12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3" t="str">
        <f t="shared" si="10"/>
        <v/>
      </c>
      <c r="G159" s="31">
        <f t="shared" si="12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3" t="str">
        <f t="shared" si="10"/>
        <v/>
      </c>
      <c r="G160" s="31">
        <f t="shared" si="12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3" t="str">
        <f t="shared" si="10"/>
        <v/>
      </c>
      <c r="G161" s="31">
        <f t="shared" si="12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3" t="str">
        <f t="shared" si="10"/>
        <v/>
      </c>
      <c r="G162" s="31">
        <f t="shared" si="12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3" t="str">
        <f t="shared" si="10"/>
        <v/>
      </c>
      <c r="G163" s="31">
        <f t="shared" si="12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3" t="str">
        <f t="shared" si="10"/>
        <v/>
      </c>
      <c r="G164" s="31">
        <f t="shared" si="12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3" t="str">
        <f t="shared" si="10"/>
        <v/>
      </c>
      <c r="G165" s="31">
        <f t="shared" si="12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3" t="str">
        <f t="shared" si="10"/>
        <v/>
      </c>
      <c r="G166" s="31">
        <f t="shared" si="12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ref="M166:M229" si="13">E166</f>
        <v>0</v>
      </c>
    </row>
    <row r="167" spans="6:13" x14ac:dyDescent="0.25">
      <c r="F167" s="93" t="str">
        <f t="shared" si="10"/>
        <v/>
      </c>
      <c r="G167" s="31">
        <f t="shared" si="12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si="13"/>
        <v>0</v>
      </c>
    </row>
    <row r="168" spans="6:13" x14ac:dyDescent="0.25">
      <c r="F168" s="93" t="str">
        <f t="shared" si="10"/>
        <v/>
      </c>
      <c r="G168" s="31">
        <f t="shared" si="12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13"/>
        <v>0</v>
      </c>
    </row>
    <row r="169" spans="6:13" x14ac:dyDescent="0.25">
      <c r="F169" s="93" t="str">
        <f t="shared" ref="F169:F232" si="14">TRIM(A169)</f>
        <v/>
      </c>
      <c r="G169" s="31">
        <f t="shared" si="12"/>
        <v>0</v>
      </c>
      <c r="H169" s="31" t="str">
        <f t="shared" ref="H169:H232" si="15">CONCATENATE(TRIM(C169)," ",D169)</f>
        <v xml:space="preserve"> </v>
      </c>
      <c r="I169" s="92" t="s">
        <v>387</v>
      </c>
      <c r="J169" s="31">
        <v>92701000</v>
      </c>
      <c r="M169" s="31">
        <f t="shared" si="13"/>
        <v>0</v>
      </c>
    </row>
    <row r="170" spans="6:13" x14ac:dyDescent="0.25">
      <c r="F170" s="93" t="str">
        <f t="shared" si="14"/>
        <v/>
      </c>
      <c r="G170" s="31">
        <f t="shared" si="12"/>
        <v>0</v>
      </c>
      <c r="H170" s="31" t="str">
        <f t="shared" si="15"/>
        <v xml:space="preserve"> </v>
      </c>
      <c r="I170" s="92" t="s">
        <v>387</v>
      </c>
      <c r="J170" s="31">
        <v>92701000</v>
      </c>
      <c r="M170" s="31">
        <f t="shared" si="13"/>
        <v>0</v>
      </c>
    </row>
    <row r="171" spans="6:13" x14ac:dyDescent="0.25">
      <c r="F171" s="93" t="str">
        <f t="shared" si="14"/>
        <v/>
      </c>
      <c r="G171" s="31">
        <f t="shared" si="12"/>
        <v>0</v>
      </c>
      <c r="H171" s="31" t="str">
        <f t="shared" si="15"/>
        <v xml:space="preserve"> </v>
      </c>
      <c r="I171" s="92" t="s">
        <v>387</v>
      </c>
      <c r="J171" s="31">
        <v>92701000</v>
      </c>
      <c r="M171" s="31">
        <f t="shared" si="13"/>
        <v>0</v>
      </c>
    </row>
    <row r="172" spans="6:13" x14ac:dyDescent="0.25">
      <c r="F172" s="93" t="str">
        <f t="shared" si="14"/>
        <v/>
      </c>
      <c r="G172" s="31">
        <f t="shared" si="12"/>
        <v>0</v>
      </c>
      <c r="H172" s="31" t="str">
        <f t="shared" si="15"/>
        <v xml:space="preserve"> </v>
      </c>
      <c r="I172" s="92" t="s">
        <v>387</v>
      </c>
      <c r="J172" s="31">
        <v>92701000</v>
      </c>
      <c r="M172" s="31">
        <f t="shared" si="13"/>
        <v>0</v>
      </c>
    </row>
    <row r="173" spans="6:13" x14ac:dyDescent="0.25">
      <c r="F173" s="93" t="str">
        <f t="shared" si="14"/>
        <v/>
      </c>
      <c r="G173" s="31">
        <f t="shared" si="12"/>
        <v>0</v>
      </c>
      <c r="H173" s="31" t="str">
        <f t="shared" si="15"/>
        <v xml:space="preserve"> </v>
      </c>
      <c r="I173" s="92" t="s">
        <v>387</v>
      </c>
      <c r="J173" s="31">
        <v>92701000</v>
      </c>
      <c r="M173" s="31">
        <f t="shared" si="13"/>
        <v>0</v>
      </c>
    </row>
    <row r="174" spans="6:13" x14ac:dyDescent="0.25">
      <c r="F174" s="93" t="str">
        <f t="shared" si="14"/>
        <v/>
      </c>
      <c r="G174" s="31">
        <f t="shared" si="12"/>
        <v>0</v>
      </c>
      <c r="H174" s="31" t="str">
        <f t="shared" si="15"/>
        <v xml:space="preserve"> </v>
      </c>
      <c r="I174" s="92" t="s">
        <v>387</v>
      </c>
      <c r="J174" s="31">
        <v>92701000</v>
      </c>
      <c r="M174" s="31">
        <f t="shared" si="13"/>
        <v>0</v>
      </c>
    </row>
    <row r="175" spans="6:13" x14ac:dyDescent="0.25">
      <c r="F175" s="93" t="str">
        <f t="shared" si="14"/>
        <v/>
      </c>
      <c r="G175" s="31">
        <f t="shared" si="12"/>
        <v>0</v>
      </c>
      <c r="H175" s="31" t="str">
        <f t="shared" si="15"/>
        <v xml:space="preserve"> </v>
      </c>
      <c r="I175" s="92" t="s">
        <v>387</v>
      </c>
      <c r="J175" s="31">
        <v>92701000</v>
      </c>
      <c r="M175" s="31">
        <f t="shared" si="13"/>
        <v>0</v>
      </c>
    </row>
    <row r="176" spans="6:13" x14ac:dyDescent="0.25">
      <c r="F176" s="93" t="str">
        <f t="shared" si="14"/>
        <v/>
      </c>
      <c r="G176" s="31">
        <f t="shared" si="12"/>
        <v>0</v>
      </c>
      <c r="H176" s="31" t="str">
        <f t="shared" si="15"/>
        <v xml:space="preserve"> </v>
      </c>
      <c r="I176" s="92" t="s">
        <v>387</v>
      </c>
      <c r="J176" s="31">
        <v>92701000</v>
      </c>
      <c r="M176" s="31">
        <f t="shared" si="13"/>
        <v>0</v>
      </c>
    </row>
    <row r="177" spans="6:13" x14ac:dyDescent="0.25">
      <c r="F177" s="93" t="str">
        <f t="shared" si="14"/>
        <v/>
      </c>
      <c r="G177" s="31">
        <f t="shared" si="12"/>
        <v>0</v>
      </c>
      <c r="H177" s="31" t="str">
        <f t="shared" si="15"/>
        <v xml:space="preserve"> </v>
      </c>
      <c r="I177" s="92" t="s">
        <v>387</v>
      </c>
      <c r="J177" s="31">
        <v>92701000</v>
      </c>
      <c r="M177" s="31">
        <f t="shared" si="13"/>
        <v>0</v>
      </c>
    </row>
    <row r="178" spans="6:13" x14ac:dyDescent="0.25">
      <c r="F178" s="93" t="str">
        <f t="shared" si="14"/>
        <v/>
      </c>
      <c r="G178" s="31">
        <f t="shared" si="12"/>
        <v>0</v>
      </c>
      <c r="H178" s="31" t="str">
        <f t="shared" si="15"/>
        <v xml:space="preserve"> </v>
      </c>
      <c r="I178" s="92" t="s">
        <v>387</v>
      </c>
      <c r="J178" s="31">
        <v>92701000</v>
      </c>
      <c r="M178" s="31">
        <f t="shared" si="13"/>
        <v>0</v>
      </c>
    </row>
    <row r="179" spans="6:13" x14ac:dyDescent="0.25">
      <c r="F179" s="93" t="str">
        <f t="shared" si="14"/>
        <v/>
      </c>
      <c r="G179" s="31">
        <f t="shared" si="12"/>
        <v>0</v>
      </c>
      <c r="H179" s="31" t="str">
        <f t="shared" si="15"/>
        <v xml:space="preserve"> </v>
      </c>
      <c r="I179" s="92" t="s">
        <v>387</v>
      </c>
      <c r="J179" s="31">
        <v>92701000</v>
      </c>
      <c r="M179" s="31">
        <f t="shared" si="13"/>
        <v>0</v>
      </c>
    </row>
    <row r="180" spans="6:13" x14ac:dyDescent="0.25">
      <c r="F180" s="93" t="str">
        <f t="shared" si="14"/>
        <v/>
      </c>
      <c r="G180" s="31">
        <f t="shared" si="12"/>
        <v>0</v>
      </c>
      <c r="H180" s="31" t="str">
        <f t="shared" si="15"/>
        <v xml:space="preserve"> </v>
      </c>
      <c r="I180" s="92" t="s">
        <v>387</v>
      </c>
      <c r="J180" s="31">
        <v>92701000</v>
      </c>
      <c r="M180" s="31">
        <f t="shared" si="13"/>
        <v>0</v>
      </c>
    </row>
    <row r="181" spans="6:13" x14ac:dyDescent="0.25">
      <c r="F181" s="93" t="str">
        <f t="shared" si="14"/>
        <v/>
      </c>
      <c r="G181" s="31">
        <f t="shared" si="12"/>
        <v>0</v>
      </c>
      <c r="H181" s="31" t="str">
        <f t="shared" si="15"/>
        <v xml:space="preserve"> </v>
      </c>
      <c r="I181" s="92" t="s">
        <v>387</v>
      </c>
      <c r="J181" s="31">
        <v>92701000</v>
      </c>
      <c r="M181" s="31">
        <f t="shared" si="13"/>
        <v>0</v>
      </c>
    </row>
    <row r="182" spans="6:13" x14ac:dyDescent="0.25">
      <c r="F182" s="93" t="str">
        <f t="shared" si="14"/>
        <v/>
      </c>
      <c r="G182" s="31">
        <f t="shared" si="12"/>
        <v>0</v>
      </c>
      <c r="H182" s="31" t="str">
        <f t="shared" si="15"/>
        <v xml:space="preserve"> </v>
      </c>
      <c r="I182" s="92" t="s">
        <v>387</v>
      </c>
      <c r="J182" s="31">
        <v>92701000</v>
      </c>
      <c r="M182" s="31">
        <f t="shared" si="13"/>
        <v>0</v>
      </c>
    </row>
    <row r="183" spans="6:13" x14ac:dyDescent="0.25">
      <c r="F183" s="93" t="str">
        <f t="shared" si="14"/>
        <v/>
      </c>
      <c r="G183" s="31">
        <f t="shared" si="12"/>
        <v>0</v>
      </c>
      <c r="H183" s="31" t="str">
        <f t="shared" si="15"/>
        <v xml:space="preserve"> </v>
      </c>
      <c r="I183" s="92" t="s">
        <v>387</v>
      </c>
      <c r="J183" s="31">
        <v>92701000</v>
      </c>
      <c r="M183" s="31">
        <f t="shared" si="13"/>
        <v>0</v>
      </c>
    </row>
    <row r="184" spans="6:13" x14ac:dyDescent="0.25">
      <c r="F184" s="93" t="str">
        <f t="shared" si="14"/>
        <v/>
      </c>
      <c r="G184" s="31">
        <f t="shared" si="12"/>
        <v>0</v>
      </c>
      <c r="H184" s="31" t="str">
        <f t="shared" si="15"/>
        <v xml:space="preserve"> </v>
      </c>
      <c r="I184" s="92" t="s">
        <v>387</v>
      </c>
      <c r="J184" s="31">
        <v>92701000</v>
      </c>
      <c r="M184" s="31">
        <f t="shared" si="13"/>
        <v>0</v>
      </c>
    </row>
    <row r="185" spans="6:13" x14ac:dyDescent="0.25">
      <c r="F185" s="93" t="str">
        <f t="shared" si="14"/>
        <v/>
      </c>
      <c r="G185" s="31">
        <f t="shared" si="12"/>
        <v>0</v>
      </c>
      <c r="H185" s="31" t="str">
        <f t="shared" si="15"/>
        <v xml:space="preserve"> </v>
      </c>
      <c r="I185" s="92" t="s">
        <v>387</v>
      </c>
      <c r="J185" s="31">
        <v>92701000</v>
      </c>
      <c r="M185" s="31">
        <f t="shared" si="13"/>
        <v>0</v>
      </c>
    </row>
    <row r="186" spans="6:13" x14ac:dyDescent="0.25">
      <c r="F186" s="93" t="str">
        <f t="shared" si="14"/>
        <v/>
      </c>
      <c r="G186" s="31">
        <f t="shared" si="12"/>
        <v>0</v>
      </c>
      <c r="H186" s="31" t="str">
        <f t="shared" si="15"/>
        <v xml:space="preserve"> </v>
      </c>
      <c r="I186" s="92" t="s">
        <v>387</v>
      </c>
      <c r="J186" s="31">
        <v>92701000</v>
      </c>
      <c r="M186" s="31">
        <f t="shared" si="13"/>
        <v>0</v>
      </c>
    </row>
    <row r="187" spans="6:13" x14ac:dyDescent="0.25">
      <c r="F187" s="93" t="str">
        <f t="shared" si="14"/>
        <v/>
      </c>
      <c r="G187" s="31">
        <f t="shared" si="12"/>
        <v>0</v>
      </c>
      <c r="H187" s="31" t="str">
        <f t="shared" si="15"/>
        <v xml:space="preserve"> </v>
      </c>
      <c r="I187" s="92" t="s">
        <v>387</v>
      </c>
      <c r="J187" s="31">
        <v>92701000</v>
      </c>
      <c r="M187" s="31">
        <f t="shared" si="13"/>
        <v>0</v>
      </c>
    </row>
    <row r="188" spans="6:13" x14ac:dyDescent="0.25">
      <c r="F188" s="93" t="str">
        <f t="shared" si="14"/>
        <v/>
      </c>
      <c r="G188" s="31">
        <f t="shared" si="12"/>
        <v>0</v>
      </c>
      <c r="H188" s="31" t="str">
        <f t="shared" si="15"/>
        <v xml:space="preserve"> </v>
      </c>
      <c r="I188" s="92" t="s">
        <v>387</v>
      </c>
      <c r="J188" s="31">
        <v>92701000</v>
      </c>
      <c r="M188" s="31">
        <f t="shared" si="13"/>
        <v>0</v>
      </c>
    </row>
    <row r="189" spans="6:13" x14ac:dyDescent="0.25">
      <c r="F189" s="93" t="str">
        <f t="shared" si="14"/>
        <v/>
      </c>
      <c r="G189" s="31">
        <f t="shared" si="12"/>
        <v>0</v>
      </c>
      <c r="H189" s="31" t="str">
        <f t="shared" si="15"/>
        <v xml:space="preserve"> </v>
      </c>
      <c r="I189" s="92" t="s">
        <v>387</v>
      </c>
      <c r="J189" s="31">
        <v>92701000</v>
      </c>
      <c r="M189" s="31">
        <f t="shared" si="13"/>
        <v>0</v>
      </c>
    </row>
    <row r="190" spans="6:13" x14ac:dyDescent="0.25">
      <c r="F190" s="93" t="str">
        <f t="shared" si="14"/>
        <v/>
      </c>
      <c r="G190" s="31">
        <f t="shared" si="12"/>
        <v>0</v>
      </c>
      <c r="H190" s="31" t="str">
        <f t="shared" si="15"/>
        <v xml:space="preserve"> </v>
      </c>
      <c r="I190" s="92" t="s">
        <v>387</v>
      </c>
      <c r="J190" s="31">
        <v>92701000</v>
      </c>
      <c r="M190" s="31">
        <f t="shared" si="13"/>
        <v>0</v>
      </c>
    </row>
    <row r="191" spans="6:13" x14ac:dyDescent="0.25">
      <c r="F191" s="93" t="str">
        <f t="shared" si="14"/>
        <v/>
      </c>
      <c r="G191" s="31">
        <f t="shared" si="12"/>
        <v>0</v>
      </c>
      <c r="H191" s="31" t="str">
        <f t="shared" si="15"/>
        <v xml:space="preserve"> </v>
      </c>
      <c r="I191" s="92" t="s">
        <v>387</v>
      </c>
      <c r="J191" s="31">
        <v>92701000</v>
      </c>
      <c r="M191" s="31">
        <f t="shared" si="13"/>
        <v>0</v>
      </c>
    </row>
    <row r="192" spans="6:13" x14ac:dyDescent="0.25">
      <c r="F192" s="93" t="str">
        <f t="shared" si="14"/>
        <v/>
      </c>
      <c r="G192" s="31">
        <f t="shared" si="12"/>
        <v>0</v>
      </c>
      <c r="H192" s="31" t="str">
        <f t="shared" si="15"/>
        <v xml:space="preserve"> </v>
      </c>
      <c r="I192" s="92" t="s">
        <v>387</v>
      </c>
      <c r="J192" s="31">
        <v>92701000</v>
      </c>
      <c r="M192" s="31">
        <f t="shared" si="13"/>
        <v>0</v>
      </c>
    </row>
    <row r="193" spans="6:13" x14ac:dyDescent="0.25">
      <c r="F193" s="93" t="str">
        <f t="shared" si="14"/>
        <v/>
      </c>
      <c r="G193" s="31">
        <f t="shared" si="12"/>
        <v>0</v>
      </c>
      <c r="H193" s="31" t="str">
        <f t="shared" si="15"/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3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3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3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3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3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3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3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3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3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3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3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3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3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3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3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3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3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3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3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3" t="str">
        <f t="shared" si="14"/>
        <v/>
      </c>
      <c r="G213" s="31">
        <f t="shared" ref="G213:G276" si="16">B213</f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3" t="str">
        <f t="shared" si="14"/>
        <v/>
      </c>
      <c r="G214" s="31">
        <f t="shared" si="16"/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3" t="str">
        <f t="shared" si="14"/>
        <v/>
      </c>
      <c r="G215" s="31">
        <f t="shared" si="16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3" t="str">
        <f t="shared" si="14"/>
        <v/>
      </c>
      <c r="G216" s="31">
        <f t="shared" si="16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3" t="str">
        <f t="shared" si="14"/>
        <v/>
      </c>
      <c r="G217" s="31">
        <f t="shared" si="16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3" t="str">
        <f t="shared" si="14"/>
        <v/>
      </c>
      <c r="G218" s="31">
        <f t="shared" si="16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3" t="str">
        <f t="shared" si="14"/>
        <v/>
      </c>
      <c r="G219" s="31">
        <f t="shared" si="16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3" t="str">
        <f t="shared" si="14"/>
        <v/>
      </c>
      <c r="G220" s="31">
        <f t="shared" si="16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3" t="str">
        <f t="shared" si="14"/>
        <v/>
      </c>
      <c r="G221" s="31">
        <f t="shared" si="16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3" t="str">
        <f t="shared" si="14"/>
        <v/>
      </c>
      <c r="G222" s="31">
        <f t="shared" si="16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3" t="str">
        <f t="shared" si="14"/>
        <v/>
      </c>
      <c r="G223" s="31">
        <f t="shared" si="16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3" t="str">
        <f t="shared" si="14"/>
        <v/>
      </c>
      <c r="G224" s="31">
        <f t="shared" si="16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3" t="str">
        <f t="shared" si="14"/>
        <v/>
      </c>
      <c r="G225" s="31">
        <f t="shared" si="16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3" t="str">
        <f t="shared" si="14"/>
        <v/>
      </c>
      <c r="G226" s="31">
        <f t="shared" si="16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3" t="str">
        <f t="shared" si="14"/>
        <v/>
      </c>
      <c r="G227" s="31">
        <f t="shared" si="16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3" t="str">
        <f t="shared" si="14"/>
        <v/>
      </c>
      <c r="G228" s="31">
        <f t="shared" si="16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3" t="str">
        <f t="shared" si="14"/>
        <v/>
      </c>
      <c r="G229" s="31">
        <f t="shared" si="16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3" t="str">
        <f t="shared" si="14"/>
        <v/>
      </c>
      <c r="G230" s="31">
        <f t="shared" si="16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ref="M230:M293" si="17">E230</f>
        <v>0</v>
      </c>
    </row>
    <row r="231" spans="6:13" x14ac:dyDescent="0.25">
      <c r="F231" s="93" t="str">
        <f t="shared" si="14"/>
        <v/>
      </c>
      <c r="G231" s="31">
        <f t="shared" si="16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si="17"/>
        <v>0</v>
      </c>
    </row>
    <row r="232" spans="6:13" x14ac:dyDescent="0.25">
      <c r="F232" s="93" t="str">
        <f t="shared" si="14"/>
        <v/>
      </c>
      <c r="G232" s="31">
        <f t="shared" si="16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7"/>
        <v>0</v>
      </c>
    </row>
    <row r="233" spans="6:13" x14ac:dyDescent="0.25">
      <c r="F233" s="93" t="str">
        <f t="shared" ref="F233:F296" si="18">TRIM(A233)</f>
        <v/>
      </c>
      <c r="G233" s="31">
        <f t="shared" si="16"/>
        <v>0</v>
      </c>
      <c r="H233" s="31" t="str">
        <f t="shared" ref="H233:H296" si="19">CONCATENATE(TRIM(C233)," ",D233)</f>
        <v xml:space="preserve"> </v>
      </c>
      <c r="I233" s="92" t="s">
        <v>387</v>
      </c>
      <c r="J233" s="31">
        <v>92701000</v>
      </c>
      <c r="M233" s="31">
        <f t="shared" si="17"/>
        <v>0</v>
      </c>
    </row>
    <row r="234" spans="6:13" x14ac:dyDescent="0.25">
      <c r="F234" s="93" t="str">
        <f t="shared" si="18"/>
        <v/>
      </c>
      <c r="G234" s="31">
        <f t="shared" si="16"/>
        <v>0</v>
      </c>
      <c r="H234" s="31" t="str">
        <f t="shared" si="19"/>
        <v xml:space="preserve"> </v>
      </c>
      <c r="I234" s="92" t="s">
        <v>387</v>
      </c>
      <c r="J234" s="31">
        <v>92701000</v>
      </c>
      <c r="M234" s="31">
        <f t="shared" si="17"/>
        <v>0</v>
      </c>
    </row>
    <row r="235" spans="6:13" x14ac:dyDescent="0.25">
      <c r="F235" s="93" t="str">
        <f t="shared" si="18"/>
        <v/>
      </c>
      <c r="G235" s="31">
        <f t="shared" si="16"/>
        <v>0</v>
      </c>
      <c r="H235" s="31" t="str">
        <f t="shared" si="19"/>
        <v xml:space="preserve"> </v>
      </c>
      <c r="I235" s="92" t="s">
        <v>387</v>
      </c>
      <c r="J235" s="31">
        <v>92701000</v>
      </c>
      <c r="M235" s="31">
        <f t="shared" si="17"/>
        <v>0</v>
      </c>
    </row>
    <row r="236" spans="6:13" x14ac:dyDescent="0.25">
      <c r="F236" s="93" t="str">
        <f t="shared" si="18"/>
        <v/>
      </c>
      <c r="G236" s="31">
        <f t="shared" si="16"/>
        <v>0</v>
      </c>
      <c r="H236" s="31" t="str">
        <f t="shared" si="19"/>
        <v xml:space="preserve"> </v>
      </c>
      <c r="I236" s="92" t="s">
        <v>387</v>
      </c>
      <c r="J236" s="31">
        <v>92701000</v>
      </c>
      <c r="M236" s="31">
        <f t="shared" si="17"/>
        <v>0</v>
      </c>
    </row>
    <row r="237" spans="6:13" x14ac:dyDescent="0.25">
      <c r="F237" s="93" t="str">
        <f t="shared" si="18"/>
        <v/>
      </c>
      <c r="G237" s="31">
        <f t="shared" si="16"/>
        <v>0</v>
      </c>
      <c r="H237" s="31" t="str">
        <f t="shared" si="19"/>
        <v xml:space="preserve"> </v>
      </c>
      <c r="I237" s="92" t="s">
        <v>387</v>
      </c>
      <c r="J237" s="31">
        <v>92701000</v>
      </c>
      <c r="M237" s="31">
        <f t="shared" si="17"/>
        <v>0</v>
      </c>
    </row>
    <row r="238" spans="6:13" x14ac:dyDescent="0.25">
      <c r="F238" s="93" t="str">
        <f t="shared" si="18"/>
        <v/>
      </c>
      <c r="G238" s="31">
        <f t="shared" si="16"/>
        <v>0</v>
      </c>
      <c r="H238" s="31" t="str">
        <f t="shared" si="19"/>
        <v xml:space="preserve"> </v>
      </c>
      <c r="I238" s="92" t="s">
        <v>387</v>
      </c>
      <c r="J238" s="31">
        <v>92701000</v>
      </c>
      <c r="M238" s="31">
        <f t="shared" si="17"/>
        <v>0</v>
      </c>
    </row>
    <row r="239" spans="6:13" x14ac:dyDescent="0.25">
      <c r="F239" s="93" t="str">
        <f t="shared" si="18"/>
        <v/>
      </c>
      <c r="G239" s="31">
        <f t="shared" si="16"/>
        <v>0</v>
      </c>
      <c r="H239" s="31" t="str">
        <f t="shared" si="19"/>
        <v xml:space="preserve"> </v>
      </c>
      <c r="I239" s="92" t="s">
        <v>387</v>
      </c>
      <c r="J239" s="31">
        <v>92701000</v>
      </c>
      <c r="M239" s="31">
        <f t="shared" si="17"/>
        <v>0</v>
      </c>
    </row>
    <row r="240" spans="6:13" x14ac:dyDescent="0.25">
      <c r="F240" s="93" t="str">
        <f t="shared" si="18"/>
        <v/>
      </c>
      <c r="G240" s="31">
        <f t="shared" si="16"/>
        <v>0</v>
      </c>
      <c r="H240" s="31" t="str">
        <f t="shared" si="19"/>
        <v xml:space="preserve"> </v>
      </c>
      <c r="I240" s="92" t="s">
        <v>387</v>
      </c>
      <c r="J240" s="31">
        <v>92701000</v>
      </c>
      <c r="M240" s="31">
        <f t="shared" si="17"/>
        <v>0</v>
      </c>
    </row>
    <row r="241" spans="6:13" x14ac:dyDescent="0.25">
      <c r="F241" s="93" t="str">
        <f t="shared" si="18"/>
        <v/>
      </c>
      <c r="G241" s="31">
        <f t="shared" si="16"/>
        <v>0</v>
      </c>
      <c r="H241" s="31" t="str">
        <f t="shared" si="19"/>
        <v xml:space="preserve"> </v>
      </c>
      <c r="I241" s="92" t="s">
        <v>387</v>
      </c>
      <c r="J241" s="31">
        <v>92701000</v>
      </c>
      <c r="M241" s="31">
        <f t="shared" si="17"/>
        <v>0</v>
      </c>
    </row>
    <row r="242" spans="6:13" x14ac:dyDescent="0.25">
      <c r="F242" s="93" t="str">
        <f t="shared" si="18"/>
        <v/>
      </c>
      <c r="G242" s="31">
        <f t="shared" si="16"/>
        <v>0</v>
      </c>
      <c r="H242" s="31" t="str">
        <f t="shared" si="19"/>
        <v xml:space="preserve"> </v>
      </c>
      <c r="I242" s="92" t="s">
        <v>387</v>
      </c>
      <c r="J242" s="31">
        <v>92701000</v>
      </c>
      <c r="M242" s="31">
        <f t="shared" si="17"/>
        <v>0</v>
      </c>
    </row>
    <row r="243" spans="6:13" x14ac:dyDescent="0.25">
      <c r="F243" s="93" t="str">
        <f t="shared" si="18"/>
        <v/>
      </c>
      <c r="G243" s="31">
        <f t="shared" si="16"/>
        <v>0</v>
      </c>
      <c r="H243" s="31" t="str">
        <f t="shared" si="19"/>
        <v xml:space="preserve"> </v>
      </c>
      <c r="I243" s="92" t="s">
        <v>387</v>
      </c>
      <c r="J243" s="31">
        <v>92701000</v>
      </c>
      <c r="M243" s="31">
        <f t="shared" si="17"/>
        <v>0</v>
      </c>
    </row>
    <row r="244" spans="6:13" x14ac:dyDescent="0.25">
      <c r="F244" s="93" t="str">
        <f t="shared" si="18"/>
        <v/>
      </c>
      <c r="G244" s="31">
        <f t="shared" si="16"/>
        <v>0</v>
      </c>
      <c r="H244" s="31" t="str">
        <f t="shared" si="19"/>
        <v xml:space="preserve"> </v>
      </c>
      <c r="I244" s="92" t="s">
        <v>387</v>
      </c>
      <c r="J244" s="31">
        <v>92701000</v>
      </c>
      <c r="M244" s="31">
        <f t="shared" si="17"/>
        <v>0</v>
      </c>
    </row>
    <row r="245" spans="6:13" x14ac:dyDescent="0.25">
      <c r="F245" s="93" t="str">
        <f t="shared" si="18"/>
        <v/>
      </c>
      <c r="G245" s="31">
        <f t="shared" si="16"/>
        <v>0</v>
      </c>
      <c r="H245" s="31" t="str">
        <f t="shared" si="19"/>
        <v xml:space="preserve"> </v>
      </c>
      <c r="I245" s="92" t="s">
        <v>387</v>
      </c>
      <c r="J245" s="31">
        <v>92701000</v>
      </c>
      <c r="M245" s="31">
        <f t="shared" si="17"/>
        <v>0</v>
      </c>
    </row>
    <row r="246" spans="6:13" x14ac:dyDescent="0.25">
      <c r="F246" s="93" t="str">
        <f t="shared" si="18"/>
        <v/>
      </c>
      <c r="G246" s="31">
        <f t="shared" si="16"/>
        <v>0</v>
      </c>
      <c r="H246" s="31" t="str">
        <f t="shared" si="19"/>
        <v xml:space="preserve"> </v>
      </c>
      <c r="I246" s="92" t="s">
        <v>387</v>
      </c>
      <c r="J246" s="31">
        <v>92701000</v>
      </c>
      <c r="M246" s="31">
        <f t="shared" si="17"/>
        <v>0</v>
      </c>
    </row>
    <row r="247" spans="6:13" x14ac:dyDescent="0.25">
      <c r="F247" s="93" t="str">
        <f t="shared" si="18"/>
        <v/>
      </c>
      <c r="G247" s="31">
        <f t="shared" si="16"/>
        <v>0</v>
      </c>
      <c r="H247" s="31" t="str">
        <f t="shared" si="19"/>
        <v xml:space="preserve"> </v>
      </c>
      <c r="I247" s="92" t="s">
        <v>387</v>
      </c>
      <c r="J247" s="31">
        <v>92701000</v>
      </c>
      <c r="M247" s="31">
        <f t="shared" si="17"/>
        <v>0</v>
      </c>
    </row>
    <row r="248" spans="6:13" x14ac:dyDescent="0.25">
      <c r="F248" s="93" t="str">
        <f t="shared" si="18"/>
        <v/>
      </c>
      <c r="G248" s="31">
        <f t="shared" si="16"/>
        <v>0</v>
      </c>
      <c r="H248" s="31" t="str">
        <f t="shared" si="19"/>
        <v xml:space="preserve"> </v>
      </c>
      <c r="I248" s="92" t="s">
        <v>387</v>
      </c>
      <c r="J248" s="31">
        <v>92701000</v>
      </c>
      <c r="M248" s="31">
        <f t="shared" si="17"/>
        <v>0</v>
      </c>
    </row>
    <row r="249" spans="6:13" x14ac:dyDescent="0.25">
      <c r="F249" s="93" t="str">
        <f t="shared" si="18"/>
        <v/>
      </c>
      <c r="G249" s="31">
        <f t="shared" si="16"/>
        <v>0</v>
      </c>
      <c r="H249" s="31" t="str">
        <f t="shared" si="19"/>
        <v xml:space="preserve"> </v>
      </c>
      <c r="I249" s="92" t="s">
        <v>387</v>
      </c>
      <c r="J249" s="31">
        <v>92701000</v>
      </c>
      <c r="M249" s="31">
        <f t="shared" si="17"/>
        <v>0</v>
      </c>
    </row>
    <row r="250" spans="6:13" x14ac:dyDescent="0.25">
      <c r="F250" s="93" t="str">
        <f t="shared" si="18"/>
        <v/>
      </c>
      <c r="G250" s="31">
        <f t="shared" si="16"/>
        <v>0</v>
      </c>
      <c r="H250" s="31" t="str">
        <f t="shared" si="19"/>
        <v xml:space="preserve"> </v>
      </c>
      <c r="I250" s="92" t="s">
        <v>387</v>
      </c>
      <c r="J250" s="31">
        <v>92701000</v>
      </c>
      <c r="M250" s="31">
        <f t="shared" si="17"/>
        <v>0</v>
      </c>
    </row>
    <row r="251" spans="6:13" x14ac:dyDescent="0.25">
      <c r="F251" s="93" t="str">
        <f t="shared" si="18"/>
        <v/>
      </c>
      <c r="G251" s="31">
        <f t="shared" si="16"/>
        <v>0</v>
      </c>
      <c r="H251" s="31" t="str">
        <f t="shared" si="19"/>
        <v xml:space="preserve"> </v>
      </c>
      <c r="I251" s="92" t="s">
        <v>387</v>
      </c>
      <c r="J251" s="31">
        <v>92701000</v>
      </c>
      <c r="M251" s="31">
        <f t="shared" si="17"/>
        <v>0</v>
      </c>
    </row>
    <row r="252" spans="6:13" x14ac:dyDescent="0.25">
      <c r="F252" s="93" t="str">
        <f t="shared" si="18"/>
        <v/>
      </c>
      <c r="G252" s="31">
        <f t="shared" si="16"/>
        <v>0</v>
      </c>
      <c r="H252" s="31" t="str">
        <f t="shared" si="19"/>
        <v xml:space="preserve"> </v>
      </c>
      <c r="I252" s="92" t="s">
        <v>387</v>
      </c>
      <c r="J252" s="31">
        <v>92701000</v>
      </c>
      <c r="M252" s="31">
        <f t="shared" si="17"/>
        <v>0</v>
      </c>
    </row>
    <row r="253" spans="6:13" x14ac:dyDescent="0.25">
      <c r="F253" s="93" t="str">
        <f t="shared" si="18"/>
        <v/>
      </c>
      <c r="G253" s="31">
        <f t="shared" si="16"/>
        <v>0</v>
      </c>
      <c r="H253" s="31" t="str">
        <f t="shared" si="19"/>
        <v xml:space="preserve"> </v>
      </c>
      <c r="I253" s="92" t="s">
        <v>387</v>
      </c>
      <c r="J253" s="31">
        <v>92701000</v>
      </c>
      <c r="M253" s="31">
        <f t="shared" si="17"/>
        <v>0</v>
      </c>
    </row>
    <row r="254" spans="6:13" x14ac:dyDescent="0.25">
      <c r="F254" s="93" t="str">
        <f t="shared" si="18"/>
        <v/>
      </c>
      <c r="G254" s="31">
        <f t="shared" si="16"/>
        <v>0</v>
      </c>
      <c r="H254" s="31" t="str">
        <f t="shared" si="19"/>
        <v xml:space="preserve"> </v>
      </c>
      <c r="I254" s="92" t="s">
        <v>387</v>
      </c>
      <c r="J254" s="31">
        <v>92701000</v>
      </c>
      <c r="M254" s="31">
        <f t="shared" si="17"/>
        <v>0</v>
      </c>
    </row>
    <row r="255" spans="6:13" x14ac:dyDescent="0.25">
      <c r="F255" s="93" t="str">
        <f t="shared" si="18"/>
        <v/>
      </c>
      <c r="G255" s="31">
        <f t="shared" si="16"/>
        <v>0</v>
      </c>
      <c r="H255" s="31" t="str">
        <f t="shared" si="19"/>
        <v xml:space="preserve"> </v>
      </c>
      <c r="I255" s="92" t="s">
        <v>387</v>
      </c>
      <c r="J255" s="31">
        <v>92701000</v>
      </c>
      <c r="M255" s="31">
        <f t="shared" si="17"/>
        <v>0</v>
      </c>
    </row>
    <row r="256" spans="6:13" x14ac:dyDescent="0.25">
      <c r="F256" s="93" t="str">
        <f t="shared" si="18"/>
        <v/>
      </c>
      <c r="G256" s="31">
        <f t="shared" si="16"/>
        <v>0</v>
      </c>
      <c r="H256" s="31" t="str">
        <f t="shared" si="19"/>
        <v xml:space="preserve"> </v>
      </c>
      <c r="I256" s="92" t="s">
        <v>387</v>
      </c>
      <c r="J256" s="31">
        <v>92701000</v>
      </c>
      <c r="M256" s="31">
        <f t="shared" si="17"/>
        <v>0</v>
      </c>
    </row>
    <row r="257" spans="6:13" x14ac:dyDescent="0.25">
      <c r="F257" s="93" t="str">
        <f t="shared" si="18"/>
        <v/>
      </c>
      <c r="G257" s="31">
        <f t="shared" si="16"/>
        <v>0</v>
      </c>
      <c r="H257" s="31" t="str">
        <f t="shared" si="19"/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3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3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3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3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3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3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3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3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3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3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3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3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3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3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3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3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3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3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3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3" t="str">
        <f t="shared" si="18"/>
        <v/>
      </c>
      <c r="G277" s="31">
        <f t="shared" ref="G277:G340" si="20">B277</f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3" t="str">
        <f t="shared" si="18"/>
        <v/>
      </c>
      <c r="G278" s="31">
        <f t="shared" si="20"/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3" t="str">
        <f t="shared" si="18"/>
        <v/>
      </c>
      <c r="G279" s="31">
        <f t="shared" si="20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3" t="str">
        <f t="shared" si="18"/>
        <v/>
      </c>
      <c r="G280" s="31">
        <f t="shared" si="20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3" t="str">
        <f t="shared" si="18"/>
        <v/>
      </c>
      <c r="G281" s="31">
        <f t="shared" si="20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3" t="str">
        <f t="shared" si="18"/>
        <v/>
      </c>
      <c r="G282" s="31">
        <f t="shared" si="20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3" t="str">
        <f t="shared" si="18"/>
        <v/>
      </c>
      <c r="G283" s="31">
        <f t="shared" si="20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3" t="str">
        <f t="shared" si="18"/>
        <v/>
      </c>
      <c r="G284" s="31">
        <f t="shared" si="20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3" t="str">
        <f t="shared" si="18"/>
        <v/>
      </c>
      <c r="G285" s="31">
        <f t="shared" si="20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3" t="str">
        <f t="shared" si="18"/>
        <v/>
      </c>
      <c r="G286" s="31">
        <f t="shared" si="20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3" t="str">
        <f t="shared" si="18"/>
        <v/>
      </c>
      <c r="G287" s="31">
        <f t="shared" si="20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3" t="str">
        <f t="shared" si="18"/>
        <v/>
      </c>
      <c r="G288" s="31">
        <f t="shared" si="20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3" t="str">
        <f t="shared" si="18"/>
        <v/>
      </c>
      <c r="G289" s="31">
        <f t="shared" si="20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3" t="str">
        <f t="shared" si="18"/>
        <v/>
      </c>
      <c r="G290" s="31">
        <f t="shared" si="20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3" t="str">
        <f t="shared" si="18"/>
        <v/>
      </c>
      <c r="G291" s="31">
        <f t="shared" si="20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3" t="str">
        <f t="shared" si="18"/>
        <v/>
      </c>
      <c r="G292" s="31">
        <f t="shared" si="20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3" t="str">
        <f t="shared" si="18"/>
        <v/>
      </c>
      <c r="G293" s="31">
        <f t="shared" si="20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3" t="str">
        <f t="shared" si="18"/>
        <v/>
      </c>
      <c r="G294" s="31">
        <f t="shared" si="20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ref="M294:M357" si="21">E294</f>
        <v>0</v>
      </c>
    </row>
    <row r="295" spans="6:13" x14ac:dyDescent="0.25">
      <c r="F295" s="93" t="str">
        <f t="shared" si="18"/>
        <v/>
      </c>
      <c r="G295" s="31">
        <f t="shared" si="20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si="21"/>
        <v>0</v>
      </c>
    </row>
    <row r="296" spans="6:13" x14ac:dyDescent="0.25">
      <c r="F296" s="93" t="str">
        <f t="shared" si="18"/>
        <v/>
      </c>
      <c r="G296" s="31">
        <f t="shared" si="20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21"/>
        <v>0</v>
      </c>
    </row>
    <row r="297" spans="6:13" x14ac:dyDescent="0.25">
      <c r="F297" s="93" t="str">
        <f t="shared" ref="F297:F360" si="22">TRIM(A297)</f>
        <v/>
      </c>
      <c r="G297" s="31">
        <f t="shared" si="20"/>
        <v>0</v>
      </c>
      <c r="H297" s="31" t="str">
        <f t="shared" ref="H297:H360" si="23">CONCATENATE(TRIM(C297)," ",D297)</f>
        <v xml:space="preserve"> </v>
      </c>
      <c r="I297" s="92" t="s">
        <v>387</v>
      </c>
      <c r="J297" s="31">
        <v>92701000</v>
      </c>
      <c r="M297" s="31">
        <f t="shared" si="21"/>
        <v>0</v>
      </c>
    </row>
    <row r="298" spans="6:13" x14ac:dyDescent="0.25">
      <c r="F298" s="93" t="str">
        <f t="shared" si="22"/>
        <v/>
      </c>
      <c r="G298" s="31">
        <f t="shared" si="20"/>
        <v>0</v>
      </c>
      <c r="H298" s="31" t="str">
        <f t="shared" si="23"/>
        <v xml:space="preserve"> </v>
      </c>
      <c r="I298" s="92" t="s">
        <v>387</v>
      </c>
      <c r="J298" s="31">
        <v>92701000</v>
      </c>
      <c r="M298" s="31">
        <f t="shared" si="21"/>
        <v>0</v>
      </c>
    </row>
    <row r="299" spans="6:13" x14ac:dyDescent="0.25">
      <c r="F299" s="93" t="str">
        <f t="shared" si="22"/>
        <v/>
      </c>
      <c r="G299" s="31">
        <f t="shared" si="20"/>
        <v>0</v>
      </c>
      <c r="H299" s="31" t="str">
        <f t="shared" si="23"/>
        <v xml:space="preserve"> </v>
      </c>
      <c r="I299" s="92" t="s">
        <v>387</v>
      </c>
      <c r="J299" s="31">
        <v>92701000</v>
      </c>
      <c r="M299" s="31">
        <f t="shared" si="21"/>
        <v>0</v>
      </c>
    </row>
    <row r="300" spans="6:13" x14ac:dyDescent="0.25">
      <c r="F300" s="93" t="str">
        <f t="shared" si="22"/>
        <v/>
      </c>
      <c r="G300" s="31">
        <f t="shared" si="20"/>
        <v>0</v>
      </c>
      <c r="H300" s="31" t="str">
        <f t="shared" si="23"/>
        <v xml:space="preserve"> </v>
      </c>
      <c r="I300" s="92" t="s">
        <v>387</v>
      </c>
      <c r="J300" s="31">
        <v>92701000</v>
      </c>
      <c r="M300" s="31">
        <f t="shared" si="21"/>
        <v>0</v>
      </c>
    </row>
    <row r="301" spans="6:13" x14ac:dyDescent="0.25">
      <c r="F301" s="93" t="str">
        <f t="shared" si="22"/>
        <v/>
      </c>
      <c r="G301" s="31">
        <f t="shared" si="20"/>
        <v>0</v>
      </c>
      <c r="H301" s="31" t="str">
        <f t="shared" si="23"/>
        <v xml:space="preserve"> </v>
      </c>
      <c r="I301" s="92" t="s">
        <v>387</v>
      </c>
      <c r="J301" s="31">
        <v>92701000</v>
      </c>
      <c r="M301" s="31">
        <f t="shared" si="21"/>
        <v>0</v>
      </c>
    </row>
    <row r="302" spans="6:13" x14ac:dyDescent="0.25">
      <c r="F302" s="93" t="str">
        <f t="shared" si="22"/>
        <v/>
      </c>
      <c r="G302" s="31">
        <f t="shared" si="20"/>
        <v>0</v>
      </c>
      <c r="H302" s="31" t="str">
        <f t="shared" si="23"/>
        <v xml:space="preserve"> </v>
      </c>
      <c r="I302" s="92" t="s">
        <v>387</v>
      </c>
      <c r="J302" s="31">
        <v>92701000</v>
      </c>
      <c r="M302" s="31">
        <f t="shared" si="21"/>
        <v>0</v>
      </c>
    </row>
    <row r="303" spans="6:13" x14ac:dyDescent="0.25">
      <c r="F303" s="93" t="str">
        <f t="shared" si="22"/>
        <v/>
      </c>
      <c r="G303" s="31">
        <f t="shared" si="20"/>
        <v>0</v>
      </c>
      <c r="H303" s="31" t="str">
        <f t="shared" si="23"/>
        <v xml:space="preserve"> </v>
      </c>
      <c r="I303" s="92" t="s">
        <v>387</v>
      </c>
      <c r="J303" s="31">
        <v>92701000</v>
      </c>
      <c r="M303" s="31">
        <f t="shared" si="21"/>
        <v>0</v>
      </c>
    </row>
    <row r="304" spans="6:13" x14ac:dyDescent="0.25">
      <c r="F304" s="93" t="str">
        <f t="shared" si="22"/>
        <v/>
      </c>
      <c r="G304" s="31">
        <f t="shared" si="20"/>
        <v>0</v>
      </c>
      <c r="H304" s="31" t="str">
        <f t="shared" si="23"/>
        <v xml:space="preserve"> </v>
      </c>
      <c r="I304" s="92" t="s">
        <v>387</v>
      </c>
      <c r="J304" s="31">
        <v>92701000</v>
      </c>
      <c r="M304" s="31">
        <f t="shared" si="21"/>
        <v>0</v>
      </c>
    </row>
    <row r="305" spans="6:13" x14ac:dyDescent="0.25">
      <c r="F305" s="93" t="str">
        <f t="shared" si="22"/>
        <v/>
      </c>
      <c r="G305" s="31">
        <f t="shared" si="20"/>
        <v>0</v>
      </c>
      <c r="H305" s="31" t="str">
        <f t="shared" si="23"/>
        <v xml:space="preserve"> </v>
      </c>
      <c r="I305" s="92" t="s">
        <v>387</v>
      </c>
      <c r="J305" s="31">
        <v>92701000</v>
      </c>
      <c r="M305" s="31">
        <f t="shared" si="21"/>
        <v>0</v>
      </c>
    </row>
    <row r="306" spans="6:13" x14ac:dyDescent="0.25">
      <c r="F306" s="93" t="str">
        <f t="shared" si="22"/>
        <v/>
      </c>
      <c r="G306" s="31">
        <f t="shared" si="20"/>
        <v>0</v>
      </c>
      <c r="H306" s="31" t="str">
        <f t="shared" si="23"/>
        <v xml:space="preserve"> </v>
      </c>
      <c r="I306" s="92" t="s">
        <v>387</v>
      </c>
      <c r="J306" s="31">
        <v>92701000</v>
      </c>
      <c r="M306" s="31">
        <f t="shared" si="21"/>
        <v>0</v>
      </c>
    </row>
    <row r="307" spans="6:13" x14ac:dyDescent="0.25">
      <c r="F307" s="93" t="str">
        <f t="shared" si="22"/>
        <v/>
      </c>
      <c r="G307" s="31">
        <f t="shared" si="20"/>
        <v>0</v>
      </c>
      <c r="H307" s="31" t="str">
        <f t="shared" si="23"/>
        <v xml:space="preserve"> </v>
      </c>
      <c r="I307" s="92" t="s">
        <v>387</v>
      </c>
      <c r="J307" s="31">
        <v>92701000</v>
      </c>
      <c r="M307" s="31">
        <f t="shared" si="21"/>
        <v>0</v>
      </c>
    </row>
    <row r="308" spans="6:13" x14ac:dyDescent="0.25">
      <c r="F308" s="93" t="str">
        <f t="shared" si="22"/>
        <v/>
      </c>
      <c r="G308" s="31">
        <f t="shared" si="20"/>
        <v>0</v>
      </c>
      <c r="H308" s="31" t="str">
        <f t="shared" si="23"/>
        <v xml:space="preserve"> </v>
      </c>
      <c r="I308" s="92" t="s">
        <v>387</v>
      </c>
      <c r="J308" s="31">
        <v>92701000</v>
      </c>
      <c r="M308" s="31">
        <f t="shared" si="21"/>
        <v>0</v>
      </c>
    </row>
    <row r="309" spans="6:13" x14ac:dyDescent="0.25">
      <c r="F309" s="93" t="str">
        <f t="shared" si="22"/>
        <v/>
      </c>
      <c r="G309" s="31">
        <f t="shared" si="20"/>
        <v>0</v>
      </c>
      <c r="H309" s="31" t="str">
        <f t="shared" si="23"/>
        <v xml:space="preserve"> </v>
      </c>
      <c r="I309" s="92" t="s">
        <v>387</v>
      </c>
      <c r="J309" s="31">
        <v>92701000</v>
      </c>
      <c r="M309" s="31">
        <f t="shared" si="21"/>
        <v>0</v>
      </c>
    </row>
    <row r="310" spans="6:13" x14ac:dyDescent="0.25">
      <c r="F310" s="93" t="str">
        <f t="shared" si="22"/>
        <v/>
      </c>
      <c r="G310" s="31">
        <f t="shared" si="20"/>
        <v>0</v>
      </c>
      <c r="H310" s="31" t="str">
        <f t="shared" si="23"/>
        <v xml:space="preserve"> </v>
      </c>
      <c r="I310" s="92" t="s">
        <v>387</v>
      </c>
      <c r="J310" s="31">
        <v>92701000</v>
      </c>
      <c r="M310" s="31">
        <f t="shared" si="21"/>
        <v>0</v>
      </c>
    </row>
    <row r="311" spans="6:13" x14ac:dyDescent="0.25">
      <c r="F311" s="93" t="str">
        <f t="shared" si="22"/>
        <v/>
      </c>
      <c r="G311" s="31">
        <f t="shared" si="20"/>
        <v>0</v>
      </c>
      <c r="H311" s="31" t="str">
        <f t="shared" si="23"/>
        <v xml:space="preserve"> </v>
      </c>
      <c r="I311" s="92" t="s">
        <v>387</v>
      </c>
      <c r="J311" s="31">
        <v>92701000</v>
      </c>
      <c r="M311" s="31">
        <f t="shared" si="21"/>
        <v>0</v>
      </c>
    </row>
    <row r="312" spans="6:13" x14ac:dyDescent="0.25">
      <c r="F312" s="93" t="str">
        <f t="shared" si="22"/>
        <v/>
      </c>
      <c r="G312" s="31">
        <f t="shared" si="20"/>
        <v>0</v>
      </c>
      <c r="H312" s="31" t="str">
        <f t="shared" si="23"/>
        <v xml:space="preserve"> </v>
      </c>
      <c r="I312" s="92" t="s">
        <v>387</v>
      </c>
      <c r="J312" s="31">
        <v>92701000</v>
      </c>
      <c r="M312" s="31">
        <f t="shared" si="21"/>
        <v>0</v>
      </c>
    </row>
    <row r="313" spans="6:13" x14ac:dyDescent="0.25">
      <c r="F313" s="93" t="str">
        <f t="shared" si="22"/>
        <v/>
      </c>
      <c r="G313" s="31">
        <f t="shared" si="20"/>
        <v>0</v>
      </c>
      <c r="H313" s="31" t="str">
        <f t="shared" si="23"/>
        <v xml:space="preserve"> </v>
      </c>
      <c r="I313" s="92" t="s">
        <v>387</v>
      </c>
      <c r="J313" s="31">
        <v>92701000</v>
      </c>
      <c r="M313" s="31">
        <f t="shared" si="21"/>
        <v>0</v>
      </c>
    </row>
    <row r="314" spans="6:13" x14ac:dyDescent="0.25">
      <c r="F314" s="93" t="str">
        <f t="shared" si="22"/>
        <v/>
      </c>
      <c r="G314" s="31">
        <f t="shared" si="20"/>
        <v>0</v>
      </c>
      <c r="H314" s="31" t="str">
        <f t="shared" si="23"/>
        <v xml:space="preserve"> </v>
      </c>
      <c r="I314" s="92" t="s">
        <v>387</v>
      </c>
      <c r="J314" s="31">
        <v>92701000</v>
      </c>
      <c r="M314" s="31">
        <f t="shared" si="21"/>
        <v>0</v>
      </c>
    </row>
    <row r="315" spans="6:13" x14ac:dyDescent="0.25">
      <c r="F315" s="93" t="str">
        <f t="shared" si="22"/>
        <v/>
      </c>
      <c r="G315" s="31">
        <f t="shared" si="20"/>
        <v>0</v>
      </c>
      <c r="H315" s="31" t="str">
        <f t="shared" si="23"/>
        <v xml:space="preserve"> </v>
      </c>
      <c r="I315" s="92" t="s">
        <v>387</v>
      </c>
      <c r="J315" s="31">
        <v>92701000</v>
      </c>
      <c r="M315" s="31">
        <f t="shared" si="21"/>
        <v>0</v>
      </c>
    </row>
    <row r="316" spans="6:13" x14ac:dyDescent="0.25">
      <c r="F316" s="93" t="str">
        <f t="shared" si="22"/>
        <v/>
      </c>
      <c r="G316" s="31">
        <f t="shared" si="20"/>
        <v>0</v>
      </c>
      <c r="H316" s="31" t="str">
        <f t="shared" si="23"/>
        <v xml:space="preserve"> </v>
      </c>
      <c r="I316" s="92" t="s">
        <v>387</v>
      </c>
      <c r="J316" s="31">
        <v>92701000</v>
      </c>
      <c r="M316" s="31">
        <f t="shared" si="21"/>
        <v>0</v>
      </c>
    </row>
    <row r="317" spans="6:13" x14ac:dyDescent="0.25">
      <c r="F317" s="93" t="str">
        <f t="shared" si="22"/>
        <v/>
      </c>
      <c r="G317" s="31">
        <f t="shared" si="20"/>
        <v>0</v>
      </c>
      <c r="H317" s="31" t="str">
        <f t="shared" si="23"/>
        <v xml:space="preserve"> </v>
      </c>
      <c r="I317" s="92" t="s">
        <v>387</v>
      </c>
      <c r="J317" s="31">
        <v>92701000</v>
      </c>
      <c r="M317" s="31">
        <f t="shared" si="21"/>
        <v>0</v>
      </c>
    </row>
    <row r="318" spans="6:13" x14ac:dyDescent="0.25">
      <c r="F318" s="93" t="str">
        <f t="shared" si="22"/>
        <v/>
      </c>
      <c r="G318" s="31">
        <f t="shared" si="20"/>
        <v>0</v>
      </c>
      <c r="H318" s="31" t="str">
        <f t="shared" si="23"/>
        <v xml:space="preserve"> </v>
      </c>
      <c r="I318" s="92" t="s">
        <v>387</v>
      </c>
      <c r="J318" s="31">
        <v>92701000</v>
      </c>
      <c r="M318" s="31">
        <f t="shared" si="21"/>
        <v>0</v>
      </c>
    </row>
    <row r="319" spans="6:13" x14ac:dyDescent="0.25">
      <c r="F319" s="93" t="str">
        <f t="shared" si="22"/>
        <v/>
      </c>
      <c r="G319" s="31">
        <f t="shared" si="20"/>
        <v>0</v>
      </c>
      <c r="H319" s="31" t="str">
        <f t="shared" si="23"/>
        <v xml:space="preserve"> </v>
      </c>
      <c r="I319" s="92" t="s">
        <v>387</v>
      </c>
      <c r="J319" s="31">
        <v>92701000</v>
      </c>
      <c r="M319" s="31">
        <f t="shared" si="21"/>
        <v>0</v>
      </c>
    </row>
    <row r="320" spans="6:13" x14ac:dyDescent="0.25">
      <c r="F320" s="93" t="str">
        <f t="shared" si="22"/>
        <v/>
      </c>
      <c r="G320" s="31">
        <f t="shared" si="20"/>
        <v>0</v>
      </c>
      <c r="H320" s="31" t="str">
        <f t="shared" si="23"/>
        <v xml:space="preserve"> </v>
      </c>
      <c r="I320" s="92" t="s">
        <v>387</v>
      </c>
      <c r="J320" s="31">
        <v>92701000</v>
      </c>
      <c r="M320" s="31">
        <f t="shared" si="21"/>
        <v>0</v>
      </c>
    </row>
    <row r="321" spans="6:13" x14ac:dyDescent="0.25">
      <c r="F321" s="93" t="str">
        <f t="shared" si="22"/>
        <v/>
      </c>
      <c r="G321" s="31">
        <f t="shared" si="20"/>
        <v>0</v>
      </c>
      <c r="H321" s="31" t="str">
        <f t="shared" si="23"/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3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3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3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3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3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3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3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3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3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3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3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3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3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3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3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3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3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3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3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3" t="str">
        <f t="shared" si="22"/>
        <v/>
      </c>
      <c r="G341" s="31">
        <f t="shared" ref="G341:G404" si="24">B341</f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3" t="str">
        <f t="shared" si="22"/>
        <v/>
      </c>
      <c r="G342" s="31">
        <f t="shared" si="24"/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3" t="str">
        <f t="shared" si="22"/>
        <v/>
      </c>
      <c r="G343" s="31">
        <f t="shared" si="24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3" t="str">
        <f t="shared" si="22"/>
        <v/>
      </c>
      <c r="G344" s="31">
        <f t="shared" si="24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3" t="str">
        <f t="shared" si="22"/>
        <v/>
      </c>
      <c r="G345" s="31">
        <f t="shared" si="24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3" t="str">
        <f t="shared" si="22"/>
        <v/>
      </c>
      <c r="G346" s="31">
        <f t="shared" si="24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3" t="str">
        <f t="shared" si="22"/>
        <v/>
      </c>
      <c r="G347" s="31">
        <f t="shared" si="24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3" t="str">
        <f t="shared" si="22"/>
        <v/>
      </c>
      <c r="G348" s="31">
        <f t="shared" si="24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3" t="str">
        <f t="shared" si="22"/>
        <v/>
      </c>
      <c r="G349" s="31">
        <f t="shared" si="24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3" t="str">
        <f t="shared" si="22"/>
        <v/>
      </c>
      <c r="G350" s="31">
        <f t="shared" si="24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3" t="str">
        <f t="shared" si="22"/>
        <v/>
      </c>
      <c r="G351" s="31">
        <f t="shared" si="24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3" t="str">
        <f t="shared" si="22"/>
        <v/>
      </c>
      <c r="G352" s="31">
        <f t="shared" si="24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3" t="str">
        <f t="shared" si="22"/>
        <v/>
      </c>
      <c r="G353" s="31">
        <f t="shared" si="24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3" t="str">
        <f t="shared" si="22"/>
        <v/>
      </c>
      <c r="G354" s="31">
        <f t="shared" si="24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3" t="str">
        <f t="shared" si="22"/>
        <v/>
      </c>
      <c r="G355" s="31">
        <f t="shared" si="24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3" t="str">
        <f t="shared" si="22"/>
        <v/>
      </c>
      <c r="G356" s="31">
        <f t="shared" si="24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3" t="str">
        <f t="shared" si="22"/>
        <v/>
      </c>
      <c r="G357" s="31">
        <f t="shared" si="24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3" t="str">
        <f t="shared" si="22"/>
        <v/>
      </c>
      <c r="G358" s="31">
        <f t="shared" si="24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ref="M358:M421" si="25">E358</f>
        <v>0</v>
      </c>
    </row>
    <row r="359" spans="6:13" x14ac:dyDescent="0.25">
      <c r="F359" s="93" t="str">
        <f t="shared" si="22"/>
        <v/>
      </c>
      <c r="G359" s="31">
        <f t="shared" si="24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si="25"/>
        <v>0</v>
      </c>
    </row>
    <row r="360" spans="6:13" x14ac:dyDescent="0.25">
      <c r="F360" s="93" t="str">
        <f t="shared" si="22"/>
        <v/>
      </c>
      <c r="G360" s="31">
        <f t="shared" si="24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5"/>
        <v>0</v>
      </c>
    </row>
    <row r="361" spans="6:13" x14ac:dyDescent="0.25">
      <c r="F361" s="93" t="str">
        <f t="shared" ref="F361:F424" si="26">TRIM(A361)</f>
        <v/>
      </c>
      <c r="G361" s="31">
        <f t="shared" si="24"/>
        <v>0</v>
      </c>
      <c r="H361" s="31" t="str">
        <f t="shared" ref="H361:H424" si="27">CONCATENATE(TRIM(C361)," ",D361)</f>
        <v xml:space="preserve"> </v>
      </c>
      <c r="I361" s="92" t="s">
        <v>387</v>
      </c>
      <c r="J361" s="31">
        <v>92701000</v>
      </c>
      <c r="M361" s="31">
        <f t="shared" si="25"/>
        <v>0</v>
      </c>
    </row>
    <row r="362" spans="6:13" x14ac:dyDescent="0.25">
      <c r="F362" s="93" t="str">
        <f t="shared" si="26"/>
        <v/>
      </c>
      <c r="G362" s="31">
        <f t="shared" si="24"/>
        <v>0</v>
      </c>
      <c r="H362" s="31" t="str">
        <f t="shared" si="27"/>
        <v xml:space="preserve"> </v>
      </c>
      <c r="I362" s="92" t="s">
        <v>387</v>
      </c>
      <c r="J362" s="31">
        <v>92701000</v>
      </c>
      <c r="M362" s="31">
        <f t="shared" si="25"/>
        <v>0</v>
      </c>
    </row>
    <row r="363" spans="6:13" x14ac:dyDescent="0.25">
      <c r="F363" s="93" t="str">
        <f t="shared" si="26"/>
        <v/>
      </c>
      <c r="G363" s="31">
        <f t="shared" si="24"/>
        <v>0</v>
      </c>
      <c r="H363" s="31" t="str">
        <f t="shared" si="27"/>
        <v xml:space="preserve"> </v>
      </c>
      <c r="I363" s="92" t="s">
        <v>387</v>
      </c>
      <c r="J363" s="31">
        <v>92701000</v>
      </c>
      <c r="M363" s="31">
        <f t="shared" si="25"/>
        <v>0</v>
      </c>
    </row>
    <row r="364" spans="6:13" x14ac:dyDescent="0.25">
      <c r="F364" s="93" t="str">
        <f t="shared" si="26"/>
        <v/>
      </c>
      <c r="G364" s="31">
        <f t="shared" si="24"/>
        <v>0</v>
      </c>
      <c r="H364" s="31" t="str">
        <f t="shared" si="27"/>
        <v xml:space="preserve"> </v>
      </c>
      <c r="I364" s="92" t="s">
        <v>387</v>
      </c>
      <c r="J364" s="31">
        <v>92701000</v>
      </c>
      <c r="M364" s="31">
        <f t="shared" si="25"/>
        <v>0</v>
      </c>
    </row>
    <row r="365" spans="6:13" x14ac:dyDescent="0.25">
      <c r="F365" s="93" t="str">
        <f t="shared" si="26"/>
        <v/>
      </c>
      <c r="G365" s="31">
        <f t="shared" si="24"/>
        <v>0</v>
      </c>
      <c r="H365" s="31" t="str">
        <f t="shared" si="27"/>
        <v xml:space="preserve"> </v>
      </c>
      <c r="I365" s="92" t="s">
        <v>387</v>
      </c>
      <c r="J365" s="31">
        <v>92701000</v>
      </c>
      <c r="M365" s="31">
        <f t="shared" si="25"/>
        <v>0</v>
      </c>
    </row>
    <row r="366" spans="6:13" x14ac:dyDescent="0.25">
      <c r="F366" s="93" t="str">
        <f t="shared" si="26"/>
        <v/>
      </c>
      <c r="G366" s="31">
        <f t="shared" si="24"/>
        <v>0</v>
      </c>
      <c r="H366" s="31" t="str">
        <f t="shared" si="27"/>
        <v xml:space="preserve"> </v>
      </c>
      <c r="I366" s="92" t="s">
        <v>387</v>
      </c>
      <c r="J366" s="31">
        <v>92701000</v>
      </c>
      <c r="M366" s="31">
        <f t="shared" si="25"/>
        <v>0</v>
      </c>
    </row>
    <row r="367" spans="6:13" x14ac:dyDescent="0.25">
      <c r="F367" s="93" t="str">
        <f t="shared" si="26"/>
        <v/>
      </c>
      <c r="G367" s="31">
        <f t="shared" si="24"/>
        <v>0</v>
      </c>
      <c r="H367" s="31" t="str">
        <f t="shared" si="27"/>
        <v xml:space="preserve"> </v>
      </c>
      <c r="I367" s="92" t="s">
        <v>387</v>
      </c>
      <c r="J367" s="31">
        <v>92701000</v>
      </c>
      <c r="M367" s="31">
        <f t="shared" si="25"/>
        <v>0</v>
      </c>
    </row>
    <row r="368" spans="6:13" x14ac:dyDescent="0.25">
      <c r="F368" s="93" t="str">
        <f t="shared" si="26"/>
        <v/>
      </c>
      <c r="G368" s="31">
        <f t="shared" si="24"/>
        <v>0</v>
      </c>
      <c r="H368" s="31" t="str">
        <f t="shared" si="27"/>
        <v xml:space="preserve"> </v>
      </c>
      <c r="I368" s="92" t="s">
        <v>387</v>
      </c>
      <c r="J368" s="31">
        <v>92701000</v>
      </c>
      <c r="M368" s="31">
        <f t="shared" si="25"/>
        <v>0</v>
      </c>
    </row>
    <row r="369" spans="6:13" x14ac:dyDescent="0.25">
      <c r="F369" s="93" t="str">
        <f t="shared" si="26"/>
        <v/>
      </c>
      <c r="G369" s="31">
        <f t="shared" si="24"/>
        <v>0</v>
      </c>
      <c r="H369" s="31" t="str">
        <f t="shared" si="27"/>
        <v xml:space="preserve"> </v>
      </c>
      <c r="I369" s="92" t="s">
        <v>387</v>
      </c>
      <c r="J369" s="31">
        <v>92701000</v>
      </c>
      <c r="M369" s="31">
        <f t="shared" si="25"/>
        <v>0</v>
      </c>
    </row>
    <row r="370" spans="6:13" x14ac:dyDescent="0.25">
      <c r="F370" s="93" t="str">
        <f t="shared" si="26"/>
        <v/>
      </c>
      <c r="G370" s="31">
        <f t="shared" si="24"/>
        <v>0</v>
      </c>
      <c r="H370" s="31" t="str">
        <f t="shared" si="27"/>
        <v xml:space="preserve"> </v>
      </c>
      <c r="I370" s="92" t="s">
        <v>387</v>
      </c>
      <c r="J370" s="31">
        <v>92701000</v>
      </c>
      <c r="M370" s="31">
        <f t="shared" si="25"/>
        <v>0</v>
      </c>
    </row>
    <row r="371" spans="6:13" x14ac:dyDescent="0.25">
      <c r="F371" s="93" t="str">
        <f t="shared" si="26"/>
        <v/>
      </c>
      <c r="G371" s="31">
        <f t="shared" si="24"/>
        <v>0</v>
      </c>
      <c r="H371" s="31" t="str">
        <f t="shared" si="27"/>
        <v xml:space="preserve"> </v>
      </c>
      <c r="I371" s="92" t="s">
        <v>387</v>
      </c>
      <c r="J371" s="31">
        <v>92701000</v>
      </c>
      <c r="M371" s="31">
        <f t="shared" si="25"/>
        <v>0</v>
      </c>
    </row>
    <row r="372" spans="6:13" x14ac:dyDescent="0.25">
      <c r="F372" s="93" t="str">
        <f t="shared" si="26"/>
        <v/>
      </c>
      <c r="G372" s="31">
        <f t="shared" si="24"/>
        <v>0</v>
      </c>
      <c r="H372" s="31" t="str">
        <f t="shared" si="27"/>
        <v xml:space="preserve"> </v>
      </c>
      <c r="I372" s="92" t="s">
        <v>387</v>
      </c>
      <c r="J372" s="31">
        <v>92701000</v>
      </c>
      <c r="M372" s="31">
        <f t="shared" si="25"/>
        <v>0</v>
      </c>
    </row>
    <row r="373" spans="6:13" x14ac:dyDescent="0.25">
      <c r="F373" s="93" t="str">
        <f t="shared" si="26"/>
        <v/>
      </c>
      <c r="G373" s="31">
        <f t="shared" si="24"/>
        <v>0</v>
      </c>
      <c r="H373" s="31" t="str">
        <f t="shared" si="27"/>
        <v xml:space="preserve"> </v>
      </c>
      <c r="I373" s="92" t="s">
        <v>387</v>
      </c>
      <c r="J373" s="31">
        <v>92701000</v>
      </c>
      <c r="M373" s="31">
        <f t="shared" si="25"/>
        <v>0</v>
      </c>
    </row>
    <row r="374" spans="6:13" x14ac:dyDescent="0.25">
      <c r="F374" s="93" t="str">
        <f t="shared" si="26"/>
        <v/>
      </c>
      <c r="G374" s="31">
        <f t="shared" si="24"/>
        <v>0</v>
      </c>
      <c r="H374" s="31" t="str">
        <f t="shared" si="27"/>
        <v xml:space="preserve"> </v>
      </c>
      <c r="I374" s="92" t="s">
        <v>387</v>
      </c>
      <c r="J374" s="31">
        <v>92701000</v>
      </c>
      <c r="M374" s="31">
        <f t="shared" si="25"/>
        <v>0</v>
      </c>
    </row>
    <row r="375" spans="6:13" x14ac:dyDescent="0.25">
      <c r="F375" s="93" t="str">
        <f t="shared" si="26"/>
        <v/>
      </c>
      <c r="G375" s="31">
        <f t="shared" si="24"/>
        <v>0</v>
      </c>
      <c r="H375" s="31" t="str">
        <f t="shared" si="27"/>
        <v xml:space="preserve"> </v>
      </c>
      <c r="I375" s="92" t="s">
        <v>387</v>
      </c>
      <c r="J375" s="31">
        <v>92701000</v>
      </c>
      <c r="M375" s="31">
        <f t="shared" si="25"/>
        <v>0</v>
      </c>
    </row>
    <row r="376" spans="6:13" x14ac:dyDescent="0.25">
      <c r="F376" s="93" t="str">
        <f t="shared" si="26"/>
        <v/>
      </c>
      <c r="G376" s="31">
        <f t="shared" si="24"/>
        <v>0</v>
      </c>
      <c r="H376" s="31" t="str">
        <f t="shared" si="27"/>
        <v xml:space="preserve"> </v>
      </c>
      <c r="I376" s="92" t="s">
        <v>387</v>
      </c>
      <c r="J376" s="31">
        <v>92701000</v>
      </c>
      <c r="M376" s="31">
        <f t="shared" si="25"/>
        <v>0</v>
      </c>
    </row>
    <row r="377" spans="6:13" x14ac:dyDescent="0.25">
      <c r="F377" s="93" t="str">
        <f t="shared" si="26"/>
        <v/>
      </c>
      <c r="G377" s="31">
        <f t="shared" si="24"/>
        <v>0</v>
      </c>
      <c r="H377" s="31" t="str">
        <f t="shared" si="27"/>
        <v xml:space="preserve"> </v>
      </c>
      <c r="I377" s="92" t="s">
        <v>387</v>
      </c>
      <c r="J377" s="31">
        <v>92701000</v>
      </c>
      <c r="M377" s="31">
        <f t="shared" si="25"/>
        <v>0</v>
      </c>
    </row>
    <row r="378" spans="6:13" x14ac:dyDescent="0.25">
      <c r="F378" s="93" t="str">
        <f t="shared" si="26"/>
        <v/>
      </c>
      <c r="G378" s="31">
        <f t="shared" si="24"/>
        <v>0</v>
      </c>
      <c r="H378" s="31" t="str">
        <f t="shared" si="27"/>
        <v xml:space="preserve"> </v>
      </c>
      <c r="I378" s="92" t="s">
        <v>387</v>
      </c>
      <c r="J378" s="31">
        <v>92701000</v>
      </c>
      <c r="M378" s="31">
        <f t="shared" si="25"/>
        <v>0</v>
      </c>
    </row>
    <row r="379" spans="6:13" x14ac:dyDescent="0.25">
      <c r="F379" s="93" t="str">
        <f t="shared" si="26"/>
        <v/>
      </c>
      <c r="G379" s="31">
        <f t="shared" si="24"/>
        <v>0</v>
      </c>
      <c r="H379" s="31" t="str">
        <f t="shared" si="27"/>
        <v xml:space="preserve"> </v>
      </c>
      <c r="I379" s="92" t="s">
        <v>387</v>
      </c>
      <c r="J379" s="31">
        <v>92701000</v>
      </c>
      <c r="M379" s="31">
        <f t="shared" si="25"/>
        <v>0</v>
      </c>
    </row>
    <row r="380" spans="6:13" x14ac:dyDescent="0.25">
      <c r="F380" s="93" t="str">
        <f t="shared" si="26"/>
        <v/>
      </c>
      <c r="G380" s="31">
        <f t="shared" si="24"/>
        <v>0</v>
      </c>
      <c r="H380" s="31" t="str">
        <f t="shared" si="27"/>
        <v xml:space="preserve"> </v>
      </c>
      <c r="I380" s="92" t="s">
        <v>387</v>
      </c>
      <c r="J380" s="31">
        <v>92701000</v>
      </c>
      <c r="M380" s="31">
        <f t="shared" si="25"/>
        <v>0</v>
      </c>
    </row>
    <row r="381" spans="6:13" x14ac:dyDescent="0.25">
      <c r="F381" s="93" t="str">
        <f t="shared" si="26"/>
        <v/>
      </c>
      <c r="G381" s="31">
        <f t="shared" si="24"/>
        <v>0</v>
      </c>
      <c r="H381" s="31" t="str">
        <f t="shared" si="27"/>
        <v xml:space="preserve"> </v>
      </c>
      <c r="I381" s="92" t="s">
        <v>387</v>
      </c>
      <c r="J381" s="31">
        <v>92701000</v>
      </c>
      <c r="M381" s="31">
        <f t="shared" si="25"/>
        <v>0</v>
      </c>
    </row>
    <row r="382" spans="6:13" x14ac:dyDescent="0.25">
      <c r="F382" s="93" t="str">
        <f t="shared" si="26"/>
        <v/>
      </c>
      <c r="G382" s="31">
        <f t="shared" si="24"/>
        <v>0</v>
      </c>
      <c r="H382" s="31" t="str">
        <f t="shared" si="27"/>
        <v xml:space="preserve"> </v>
      </c>
      <c r="I382" s="92" t="s">
        <v>387</v>
      </c>
      <c r="J382" s="31">
        <v>92701000</v>
      </c>
      <c r="M382" s="31">
        <f t="shared" si="25"/>
        <v>0</v>
      </c>
    </row>
    <row r="383" spans="6:13" x14ac:dyDescent="0.25">
      <c r="F383" s="93" t="str">
        <f t="shared" si="26"/>
        <v/>
      </c>
      <c r="G383" s="31">
        <f t="shared" si="24"/>
        <v>0</v>
      </c>
      <c r="H383" s="31" t="str">
        <f t="shared" si="27"/>
        <v xml:space="preserve"> </v>
      </c>
      <c r="I383" s="92" t="s">
        <v>387</v>
      </c>
      <c r="J383" s="31">
        <v>92701000</v>
      </c>
      <c r="M383" s="31">
        <f t="shared" si="25"/>
        <v>0</v>
      </c>
    </row>
    <row r="384" spans="6:13" x14ac:dyDescent="0.25">
      <c r="F384" s="93" t="str">
        <f t="shared" si="26"/>
        <v/>
      </c>
      <c r="G384" s="31">
        <f t="shared" si="24"/>
        <v>0</v>
      </c>
      <c r="H384" s="31" t="str">
        <f t="shared" si="27"/>
        <v xml:space="preserve"> </v>
      </c>
      <c r="I384" s="92" t="s">
        <v>387</v>
      </c>
      <c r="J384" s="31">
        <v>92701000</v>
      </c>
      <c r="M384" s="31">
        <f t="shared" si="25"/>
        <v>0</v>
      </c>
    </row>
    <row r="385" spans="6:13" x14ac:dyDescent="0.25">
      <c r="F385" s="93" t="str">
        <f t="shared" si="26"/>
        <v/>
      </c>
      <c r="G385" s="31">
        <f t="shared" si="24"/>
        <v>0</v>
      </c>
      <c r="H385" s="31" t="str">
        <f t="shared" si="27"/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3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3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3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3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3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3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3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3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3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3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3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3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3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3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3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3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3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3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3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3" t="str">
        <f t="shared" si="26"/>
        <v/>
      </c>
      <c r="G405" s="31">
        <f t="shared" ref="G405:G468" si="28">B405</f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3" t="str">
        <f t="shared" si="26"/>
        <v/>
      </c>
      <c r="G406" s="31">
        <f t="shared" si="28"/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3" t="str">
        <f t="shared" si="26"/>
        <v/>
      </c>
      <c r="G407" s="31">
        <f t="shared" si="28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3" t="str">
        <f t="shared" si="26"/>
        <v/>
      </c>
      <c r="G408" s="31">
        <f t="shared" si="28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3" t="str">
        <f t="shared" si="26"/>
        <v/>
      </c>
      <c r="G409" s="31">
        <f t="shared" si="28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3" t="str">
        <f t="shared" si="26"/>
        <v/>
      </c>
      <c r="G410" s="31">
        <f t="shared" si="28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3" t="str">
        <f t="shared" si="26"/>
        <v/>
      </c>
      <c r="G411" s="31">
        <f t="shared" si="28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3" t="str">
        <f t="shared" si="26"/>
        <v/>
      </c>
      <c r="G412" s="31">
        <f t="shared" si="28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3" t="str">
        <f t="shared" si="26"/>
        <v/>
      </c>
      <c r="G413" s="31">
        <f t="shared" si="28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3" t="str">
        <f t="shared" si="26"/>
        <v/>
      </c>
      <c r="G414" s="31">
        <f t="shared" si="28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3" t="str">
        <f t="shared" si="26"/>
        <v/>
      </c>
      <c r="G415" s="31">
        <f t="shared" si="28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3" t="str">
        <f t="shared" si="26"/>
        <v/>
      </c>
      <c r="G416" s="31">
        <f t="shared" si="28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3" t="str">
        <f t="shared" si="26"/>
        <v/>
      </c>
      <c r="G417" s="31">
        <f t="shared" si="28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3" t="str">
        <f t="shared" si="26"/>
        <v/>
      </c>
      <c r="G418" s="31">
        <f t="shared" si="28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3" t="str">
        <f t="shared" si="26"/>
        <v/>
      </c>
      <c r="G419" s="31">
        <f t="shared" si="28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3" t="str">
        <f t="shared" si="26"/>
        <v/>
      </c>
      <c r="G420" s="31">
        <f t="shared" si="28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3" t="str">
        <f t="shared" si="26"/>
        <v/>
      </c>
      <c r="G421" s="31">
        <f t="shared" si="28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3" t="str">
        <f t="shared" si="26"/>
        <v/>
      </c>
      <c r="G422" s="31">
        <f t="shared" si="28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ref="M422:M485" si="29">E422</f>
        <v>0</v>
      </c>
    </row>
    <row r="423" spans="6:13" x14ac:dyDescent="0.25">
      <c r="F423" s="93" t="str">
        <f t="shared" si="26"/>
        <v/>
      </c>
      <c r="G423" s="31">
        <f t="shared" si="28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si="29"/>
        <v>0</v>
      </c>
    </row>
    <row r="424" spans="6:13" x14ac:dyDescent="0.25">
      <c r="F424" s="93" t="str">
        <f t="shared" si="26"/>
        <v/>
      </c>
      <c r="G424" s="31">
        <f t="shared" si="28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9"/>
        <v>0</v>
      </c>
    </row>
    <row r="425" spans="6:13" x14ac:dyDescent="0.25">
      <c r="F425" s="93" t="str">
        <f t="shared" ref="F425:F488" si="30">TRIM(A425)</f>
        <v/>
      </c>
      <c r="G425" s="31">
        <f t="shared" si="28"/>
        <v>0</v>
      </c>
      <c r="H425" s="31" t="str">
        <f t="shared" ref="H425:H488" si="31">CONCATENATE(TRIM(C425)," ",D425)</f>
        <v xml:space="preserve"> </v>
      </c>
      <c r="I425" s="92" t="s">
        <v>387</v>
      </c>
      <c r="J425" s="31">
        <v>92701000</v>
      </c>
      <c r="M425" s="31">
        <f t="shared" si="29"/>
        <v>0</v>
      </c>
    </row>
    <row r="426" spans="6:13" x14ac:dyDescent="0.25">
      <c r="F426" s="93" t="str">
        <f t="shared" si="30"/>
        <v/>
      </c>
      <c r="G426" s="31">
        <f t="shared" si="28"/>
        <v>0</v>
      </c>
      <c r="H426" s="31" t="str">
        <f t="shared" si="31"/>
        <v xml:space="preserve"> </v>
      </c>
      <c r="I426" s="92" t="s">
        <v>387</v>
      </c>
      <c r="J426" s="31">
        <v>92701000</v>
      </c>
      <c r="M426" s="31">
        <f t="shared" si="29"/>
        <v>0</v>
      </c>
    </row>
    <row r="427" spans="6:13" x14ac:dyDescent="0.25">
      <c r="F427" s="93" t="str">
        <f t="shared" si="30"/>
        <v/>
      </c>
      <c r="G427" s="31">
        <f t="shared" si="28"/>
        <v>0</v>
      </c>
      <c r="H427" s="31" t="str">
        <f t="shared" si="31"/>
        <v xml:space="preserve"> </v>
      </c>
      <c r="I427" s="92" t="s">
        <v>387</v>
      </c>
      <c r="J427" s="31">
        <v>92701000</v>
      </c>
      <c r="M427" s="31">
        <f t="shared" si="29"/>
        <v>0</v>
      </c>
    </row>
    <row r="428" spans="6:13" x14ac:dyDescent="0.25">
      <c r="F428" s="93" t="str">
        <f t="shared" si="30"/>
        <v/>
      </c>
      <c r="G428" s="31">
        <f t="shared" si="28"/>
        <v>0</v>
      </c>
      <c r="H428" s="31" t="str">
        <f t="shared" si="31"/>
        <v xml:space="preserve"> </v>
      </c>
      <c r="I428" s="92" t="s">
        <v>387</v>
      </c>
      <c r="J428" s="31">
        <v>92701000</v>
      </c>
      <c r="M428" s="31">
        <f t="shared" si="29"/>
        <v>0</v>
      </c>
    </row>
    <row r="429" spans="6:13" x14ac:dyDescent="0.25">
      <c r="F429" s="93" t="str">
        <f t="shared" si="30"/>
        <v/>
      </c>
      <c r="G429" s="31">
        <f t="shared" si="28"/>
        <v>0</v>
      </c>
      <c r="H429" s="31" t="str">
        <f t="shared" si="31"/>
        <v xml:space="preserve"> </v>
      </c>
      <c r="I429" s="92" t="s">
        <v>387</v>
      </c>
      <c r="J429" s="31">
        <v>92701000</v>
      </c>
      <c r="M429" s="31">
        <f t="shared" si="29"/>
        <v>0</v>
      </c>
    </row>
    <row r="430" spans="6:13" x14ac:dyDescent="0.25">
      <c r="F430" s="93" t="str">
        <f t="shared" si="30"/>
        <v/>
      </c>
      <c r="G430" s="31">
        <f t="shared" si="28"/>
        <v>0</v>
      </c>
      <c r="H430" s="31" t="str">
        <f t="shared" si="31"/>
        <v xml:space="preserve"> </v>
      </c>
      <c r="I430" s="92" t="s">
        <v>387</v>
      </c>
      <c r="J430" s="31">
        <v>92701000</v>
      </c>
      <c r="M430" s="31">
        <f t="shared" si="29"/>
        <v>0</v>
      </c>
    </row>
    <row r="431" spans="6:13" x14ac:dyDescent="0.25">
      <c r="F431" s="93" t="str">
        <f t="shared" si="30"/>
        <v/>
      </c>
      <c r="G431" s="31">
        <f t="shared" si="28"/>
        <v>0</v>
      </c>
      <c r="H431" s="31" t="str">
        <f t="shared" si="31"/>
        <v xml:space="preserve"> </v>
      </c>
      <c r="I431" s="92" t="s">
        <v>387</v>
      </c>
      <c r="J431" s="31">
        <v>92701000</v>
      </c>
      <c r="M431" s="31">
        <f t="shared" si="29"/>
        <v>0</v>
      </c>
    </row>
    <row r="432" spans="6:13" x14ac:dyDescent="0.25">
      <c r="F432" s="93" t="str">
        <f t="shared" si="30"/>
        <v/>
      </c>
      <c r="G432" s="31">
        <f t="shared" si="28"/>
        <v>0</v>
      </c>
      <c r="H432" s="31" t="str">
        <f t="shared" si="31"/>
        <v xml:space="preserve"> </v>
      </c>
      <c r="I432" s="92" t="s">
        <v>387</v>
      </c>
      <c r="J432" s="31">
        <v>92701000</v>
      </c>
      <c r="M432" s="31">
        <f t="shared" si="29"/>
        <v>0</v>
      </c>
    </row>
    <row r="433" spans="6:13" x14ac:dyDescent="0.25">
      <c r="F433" s="93" t="str">
        <f t="shared" si="30"/>
        <v/>
      </c>
      <c r="G433" s="31">
        <f t="shared" si="28"/>
        <v>0</v>
      </c>
      <c r="H433" s="31" t="str">
        <f t="shared" si="31"/>
        <v xml:space="preserve"> </v>
      </c>
      <c r="I433" s="92" t="s">
        <v>387</v>
      </c>
      <c r="J433" s="31">
        <v>92701000</v>
      </c>
      <c r="M433" s="31">
        <f t="shared" si="29"/>
        <v>0</v>
      </c>
    </row>
    <row r="434" spans="6:13" x14ac:dyDescent="0.25">
      <c r="F434" s="93" t="str">
        <f t="shared" si="30"/>
        <v/>
      </c>
      <c r="G434" s="31">
        <f t="shared" si="28"/>
        <v>0</v>
      </c>
      <c r="H434" s="31" t="str">
        <f t="shared" si="31"/>
        <v xml:space="preserve"> </v>
      </c>
      <c r="I434" s="92" t="s">
        <v>387</v>
      </c>
      <c r="J434" s="31">
        <v>92701000</v>
      </c>
      <c r="M434" s="31">
        <f t="shared" si="29"/>
        <v>0</v>
      </c>
    </row>
    <row r="435" spans="6:13" x14ac:dyDescent="0.25">
      <c r="F435" s="93" t="str">
        <f t="shared" si="30"/>
        <v/>
      </c>
      <c r="G435" s="31">
        <f t="shared" si="28"/>
        <v>0</v>
      </c>
      <c r="H435" s="31" t="str">
        <f t="shared" si="31"/>
        <v xml:space="preserve"> </v>
      </c>
      <c r="I435" s="92" t="s">
        <v>387</v>
      </c>
      <c r="J435" s="31">
        <v>92701000</v>
      </c>
      <c r="M435" s="31">
        <f t="shared" si="29"/>
        <v>0</v>
      </c>
    </row>
    <row r="436" spans="6:13" x14ac:dyDescent="0.25">
      <c r="F436" s="93" t="str">
        <f t="shared" si="30"/>
        <v/>
      </c>
      <c r="G436" s="31">
        <f t="shared" si="28"/>
        <v>0</v>
      </c>
      <c r="H436" s="31" t="str">
        <f t="shared" si="31"/>
        <v xml:space="preserve"> </v>
      </c>
      <c r="I436" s="92" t="s">
        <v>387</v>
      </c>
      <c r="J436" s="31">
        <v>92701000</v>
      </c>
      <c r="M436" s="31">
        <f t="shared" si="29"/>
        <v>0</v>
      </c>
    </row>
    <row r="437" spans="6:13" x14ac:dyDescent="0.25">
      <c r="F437" s="93" t="str">
        <f t="shared" si="30"/>
        <v/>
      </c>
      <c r="G437" s="31">
        <f t="shared" si="28"/>
        <v>0</v>
      </c>
      <c r="H437" s="31" t="str">
        <f t="shared" si="31"/>
        <v xml:space="preserve"> </v>
      </c>
      <c r="I437" s="92" t="s">
        <v>387</v>
      </c>
      <c r="J437" s="31">
        <v>92701000</v>
      </c>
      <c r="M437" s="31">
        <f t="shared" si="29"/>
        <v>0</v>
      </c>
    </row>
    <row r="438" spans="6:13" x14ac:dyDescent="0.25">
      <c r="F438" s="93" t="str">
        <f t="shared" si="30"/>
        <v/>
      </c>
      <c r="G438" s="31">
        <f t="shared" si="28"/>
        <v>0</v>
      </c>
      <c r="H438" s="31" t="str">
        <f t="shared" si="31"/>
        <v xml:space="preserve"> </v>
      </c>
      <c r="I438" s="92" t="s">
        <v>387</v>
      </c>
      <c r="J438" s="31">
        <v>92701000</v>
      </c>
      <c r="M438" s="31">
        <f t="shared" si="29"/>
        <v>0</v>
      </c>
    </row>
    <row r="439" spans="6:13" x14ac:dyDescent="0.25">
      <c r="F439" s="93" t="str">
        <f t="shared" si="30"/>
        <v/>
      </c>
      <c r="G439" s="31">
        <f t="shared" si="28"/>
        <v>0</v>
      </c>
      <c r="H439" s="31" t="str">
        <f t="shared" si="31"/>
        <v xml:space="preserve"> </v>
      </c>
      <c r="I439" s="92" t="s">
        <v>387</v>
      </c>
      <c r="J439" s="31">
        <v>92701000</v>
      </c>
      <c r="M439" s="31">
        <f t="shared" si="29"/>
        <v>0</v>
      </c>
    </row>
    <row r="440" spans="6:13" x14ac:dyDescent="0.25">
      <c r="F440" s="93" t="str">
        <f t="shared" si="30"/>
        <v/>
      </c>
      <c r="G440" s="31">
        <f t="shared" si="28"/>
        <v>0</v>
      </c>
      <c r="H440" s="31" t="str">
        <f t="shared" si="31"/>
        <v xml:space="preserve"> </v>
      </c>
      <c r="I440" s="92" t="s">
        <v>387</v>
      </c>
      <c r="J440" s="31">
        <v>92701000</v>
      </c>
      <c r="M440" s="31">
        <f t="shared" si="29"/>
        <v>0</v>
      </c>
    </row>
    <row r="441" spans="6:13" x14ac:dyDescent="0.25">
      <c r="F441" s="93" t="str">
        <f t="shared" si="30"/>
        <v/>
      </c>
      <c r="G441" s="31">
        <f t="shared" si="28"/>
        <v>0</v>
      </c>
      <c r="H441" s="31" t="str">
        <f t="shared" si="31"/>
        <v xml:space="preserve"> </v>
      </c>
      <c r="I441" s="92" t="s">
        <v>387</v>
      </c>
      <c r="J441" s="31">
        <v>92701000</v>
      </c>
      <c r="M441" s="31">
        <f t="shared" si="29"/>
        <v>0</v>
      </c>
    </row>
    <row r="442" spans="6:13" x14ac:dyDescent="0.25">
      <c r="F442" s="93" t="str">
        <f t="shared" si="30"/>
        <v/>
      </c>
      <c r="G442" s="31">
        <f t="shared" si="28"/>
        <v>0</v>
      </c>
      <c r="H442" s="31" t="str">
        <f t="shared" si="31"/>
        <v xml:space="preserve"> </v>
      </c>
      <c r="I442" s="92" t="s">
        <v>387</v>
      </c>
      <c r="J442" s="31">
        <v>92701000</v>
      </c>
      <c r="M442" s="31">
        <f t="shared" si="29"/>
        <v>0</v>
      </c>
    </row>
    <row r="443" spans="6:13" x14ac:dyDescent="0.25">
      <c r="F443" s="93" t="str">
        <f t="shared" si="30"/>
        <v/>
      </c>
      <c r="G443" s="31">
        <f t="shared" si="28"/>
        <v>0</v>
      </c>
      <c r="H443" s="31" t="str">
        <f t="shared" si="31"/>
        <v xml:space="preserve"> </v>
      </c>
      <c r="I443" s="92" t="s">
        <v>387</v>
      </c>
      <c r="J443" s="31">
        <v>92701000</v>
      </c>
      <c r="M443" s="31">
        <f t="shared" si="29"/>
        <v>0</v>
      </c>
    </row>
    <row r="444" spans="6:13" x14ac:dyDescent="0.25">
      <c r="F444" s="93" t="str">
        <f t="shared" si="30"/>
        <v/>
      </c>
      <c r="G444" s="31">
        <f t="shared" si="28"/>
        <v>0</v>
      </c>
      <c r="H444" s="31" t="str">
        <f t="shared" si="31"/>
        <v xml:space="preserve"> </v>
      </c>
      <c r="I444" s="92" t="s">
        <v>387</v>
      </c>
      <c r="J444" s="31">
        <v>92701000</v>
      </c>
      <c r="M444" s="31">
        <f t="shared" si="29"/>
        <v>0</v>
      </c>
    </row>
    <row r="445" spans="6:13" x14ac:dyDescent="0.25">
      <c r="F445" s="93" t="str">
        <f t="shared" si="30"/>
        <v/>
      </c>
      <c r="G445" s="31">
        <f t="shared" si="28"/>
        <v>0</v>
      </c>
      <c r="H445" s="31" t="str">
        <f t="shared" si="31"/>
        <v xml:space="preserve"> </v>
      </c>
      <c r="I445" s="92" t="s">
        <v>387</v>
      </c>
      <c r="J445" s="31">
        <v>92701000</v>
      </c>
      <c r="M445" s="31">
        <f t="shared" si="29"/>
        <v>0</v>
      </c>
    </row>
    <row r="446" spans="6:13" x14ac:dyDescent="0.25">
      <c r="F446" s="93" t="str">
        <f t="shared" si="30"/>
        <v/>
      </c>
      <c r="G446" s="31">
        <f t="shared" si="28"/>
        <v>0</v>
      </c>
      <c r="H446" s="31" t="str">
        <f t="shared" si="31"/>
        <v xml:space="preserve"> </v>
      </c>
      <c r="I446" s="92" t="s">
        <v>387</v>
      </c>
      <c r="J446" s="31">
        <v>92701000</v>
      </c>
      <c r="M446" s="31">
        <f t="shared" si="29"/>
        <v>0</v>
      </c>
    </row>
    <row r="447" spans="6:13" x14ac:dyDescent="0.25">
      <c r="F447" s="93" t="str">
        <f t="shared" si="30"/>
        <v/>
      </c>
      <c r="G447" s="31">
        <f t="shared" si="28"/>
        <v>0</v>
      </c>
      <c r="H447" s="31" t="str">
        <f t="shared" si="31"/>
        <v xml:space="preserve"> </v>
      </c>
      <c r="I447" s="92" t="s">
        <v>387</v>
      </c>
      <c r="J447" s="31">
        <v>92701000</v>
      </c>
      <c r="M447" s="31">
        <f t="shared" si="29"/>
        <v>0</v>
      </c>
    </row>
    <row r="448" spans="6:13" x14ac:dyDescent="0.25">
      <c r="F448" s="93" t="str">
        <f t="shared" si="30"/>
        <v/>
      </c>
      <c r="G448" s="31">
        <f t="shared" si="28"/>
        <v>0</v>
      </c>
      <c r="H448" s="31" t="str">
        <f t="shared" si="31"/>
        <v xml:space="preserve"> </v>
      </c>
      <c r="I448" s="92" t="s">
        <v>387</v>
      </c>
      <c r="J448" s="31">
        <v>92701000</v>
      </c>
      <c r="M448" s="31">
        <f t="shared" si="29"/>
        <v>0</v>
      </c>
    </row>
    <row r="449" spans="6:13" x14ac:dyDescent="0.25">
      <c r="F449" s="93" t="str">
        <f t="shared" si="30"/>
        <v/>
      </c>
      <c r="G449" s="31">
        <f t="shared" si="28"/>
        <v>0</v>
      </c>
      <c r="H449" s="31" t="str">
        <f t="shared" si="31"/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3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3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3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3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3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3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3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3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3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3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3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3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3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3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3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3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3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3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3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3" t="str">
        <f t="shared" si="30"/>
        <v/>
      </c>
      <c r="G469" s="31">
        <f t="shared" ref="G469:G532" si="32">B469</f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3" t="str">
        <f t="shared" si="30"/>
        <v/>
      </c>
      <c r="G470" s="31">
        <f t="shared" si="32"/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3" t="str">
        <f t="shared" si="30"/>
        <v/>
      </c>
      <c r="G471" s="31">
        <f t="shared" si="32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3" t="str">
        <f t="shared" si="30"/>
        <v/>
      </c>
      <c r="G472" s="31">
        <f t="shared" si="32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3" t="str">
        <f t="shared" si="30"/>
        <v/>
      </c>
      <c r="G473" s="31">
        <f t="shared" si="32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3" t="str">
        <f t="shared" si="30"/>
        <v/>
      </c>
      <c r="G474" s="31">
        <f t="shared" si="32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3" t="str">
        <f t="shared" si="30"/>
        <v/>
      </c>
      <c r="G475" s="31">
        <f t="shared" si="32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3" t="str">
        <f t="shared" si="30"/>
        <v/>
      </c>
      <c r="G476" s="31">
        <f t="shared" si="32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3" t="str">
        <f t="shared" si="30"/>
        <v/>
      </c>
      <c r="G477" s="31">
        <f t="shared" si="32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3" t="str">
        <f t="shared" si="30"/>
        <v/>
      </c>
      <c r="G478" s="31">
        <f t="shared" si="32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3" t="str">
        <f t="shared" si="30"/>
        <v/>
      </c>
      <c r="G479" s="31">
        <f t="shared" si="32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3" t="str">
        <f t="shared" si="30"/>
        <v/>
      </c>
      <c r="G480" s="31">
        <f t="shared" si="32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3" t="str">
        <f t="shared" si="30"/>
        <v/>
      </c>
      <c r="G481" s="31">
        <f t="shared" si="32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3" t="str">
        <f t="shared" si="30"/>
        <v/>
      </c>
      <c r="G482" s="31">
        <f t="shared" si="32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3" t="str">
        <f t="shared" si="30"/>
        <v/>
      </c>
      <c r="G483" s="31">
        <f t="shared" si="32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3" t="str">
        <f t="shared" si="30"/>
        <v/>
      </c>
      <c r="G484" s="31">
        <f t="shared" si="32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3" t="str">
        <f t="shared" si="30"/>
        <v/>
      </c>
      <c r="G485" s="31">
        <f t="shared" si="32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3" t="str">
        <f t="shared" si="30"/>
        <v/>
      </c>
      <c r="G486" s="31">
        <f t="shared" si="32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ref="M486:M549" si="33">E486</f>
        <v>0</v>
      </c>
    </row>
    <row r="487" spans="6:13" x14ac:dyDescent="0.25">
      <c r="F487" s="93" t="str">
        <f t="shared" si="30"/>
        <v/>
      </c>
      <c r="G487" s="31">
        <f t="shared" si="32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si="33"/>
        <v>0</v>
      </c>
    </row>
    <row r="488" spans="6:13" x14ac:dyDescent="0.25">
      <c r="F488" s="93" t="str">
        <f t="shared" si="30"/>
        <v/>
      </c>
      <c r="G488" s="31">
        <f t="shared" si="32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33"/>
        <v>0</v>
      </c>
    </row>
    <row r="489" spans="6:13" x14ac:dyDescent="0.25">
      <c r="F489" s="93" t="str">
        <f t="shared" ref="F489:F552" si="34">TRIM(A489)</f>
        <v/>
      </c>
      <c r="G489" s="31">
        <f t="shared" si="32"/>
        <v>0</v>
      </c>
      <c r="H489" s="31" t="str">
        <f t="shared" ref="H489:H552" si="35">CONCATENATE(TRIM(C489)," ",D489)</f>
        <v xml:space="preserve"> </v>
      </c>
      <c r="I489" s="92" t="s">
        <v>387</v>
      </c>
      <c r="J489" s="31">
        <v>92701000</v>
      </c>
      <c r="M489" s="31">
        <f t="shared" si="33"/>
        <v>0</v>
      </c>
    </row>
    <row r="490" spans="6:13" x14ac:dyDescent="0.25">
      <c r="F490" s="93" t="str">
        <f t="shared" si="34"/>
        <v/>
      </c>
      <c r="G490" s="31">
        <f t="shared" si="32"/>
        <v>0</v>
      </c>
      <c r="H490" s="31" t="str">
        <f t="shared" si="35"/>
        <v xml:space="preserve"> </v>
      </c>
      <c r="I490" s="92" t="s">
        <v>387</v>
      </c>
      <c r="J490" s="31">
        <v>92701000</v>
      </c>
      <c r="M490" s="31">
        <f t="shared" si="33"/>
        <v>0</v>
      </c>
    </row>
    <row r="491" spans="6:13" x14ac:dyDescent="0.25">
      <c r="F491" s="93" t="str">
        <f t="shared" si="34"/>
        <v/>
      </c>
      <c r="G491" s="31">
        <f t="shared" si="32"/>
        <v>0</v>
      </c>
      <c r="H491" s="31" t="str">
        <f t="shared" si="35"/>
        <v xml:space="preserve"> </v>
      </c>
      <c r="I491" s="92" t="s">
        <v>387</v>
      </c>
      <c r="J491" s="31">
        <v>92701000</v>
      </c>
      <c r="M491" s="31">
        <f t="shared" si="33"/>
        <v>0</v>
      </c>
    </row>
    <row r="492" spans="6:13" x14ac:dyDescent="0.25">
      <c r="F492" s="93" t="str">
        <f t="shared" si="34"/>
        <v/>
      </c>
      <c r="G492" s="31">
        <f t="shared" si="32"/>
        <v>0</v>
      </c>
      <c r="H492" s="31" t="str">
        <f t="shared" si="35"/>
        <v xml:space="preserve"> </v>
      </c>
      <c r="I492" s="92" t="s">
        <v>387</v>
      </c>
      <c r="J492" s="31">
        <v>92701000</v>
      </c>
      <c r="M492" s="31">
        <f t="shared" si="33"/>
        <v>0</v>
      </c>
    </row>
    <row r="493" spans="6:13" x14ac:dyDescent="0.25">
      <c r="F493" s="93" t="str">
        <f t="shared" si="34"/>
        <v/>
      </c>
      <c r="G493" s="31">
        <f t="shared" si="32"/>
        <v>0</v>
      </c>
      <c r="H493" s="31" t="str">
        <f t="shared" si="35"/>
        <v xml:space="preserve"> </v>
      </c>
      <c r="I493" s="92" t="s">
        <v>387</v>
      </c>
      <c r="J493" s="31">
        <v>92701000</v>
      </c>
      <c r="M493" s="31">
        <f t="shared" si="33"/>
        <v>0</v>
      </c>
    </row>
    <row r="494" spans="6:13" x14ac:dyDescent="0.25">
      <c r="F494" s="93" t="str">
        <f t="shared" si="34"/>
        <v/>
      </c>
      <c r="G494" s="31">
        <f t="shared" si="32"/>
        <v>0</v>
      </c>
      <c r="H494" s="31" t="str">
        <f t="shared" si="35"/>
        <v xml:space="preserve"> </v>
      </c>
      <c r="I494" s="92" t="s">
        <v>387</v>
      </c>
      <c r="J494" s="31">
        <v>92701000</v>
      </c>
      <c r="M494" s="31">
        <f t="shared" si="33"/>
        <v>0</v>
      </c>
    </row>
    <row r="495" spans="6:13" x14ac:dyDescent="0.25">
      <c r="F495" s="93" t="str">
        <f t="shared" si="34"/>
        <v/>
      </c>
      <c r="G495" s="31">
        <f t="shared" si="32"/>
        <v>0</v>
      </c>
      <c r="H495" s="31" t="str">
        <f t="shared" si="35"/>
        <v xml:space="preserve"> </v>
      </c>
      <c r="I495" s="92" t="s">
        <v>387</v>
      </c>
      <c r="J495" s="31">
        <v>92701000</v>
      </c>
      <c r="M495" s="31">
        <f t="shared" si="33"/>
        <v>0</v>
      </c>
    </row>
    <row r="496" spans="6:13" x14ac:dyDescent="0.25">
      <c r="F496" s="93" t="str">
        <f t="shared" si="34"/>
        <v/>
      </c>
      <c r="G496" s="31">
        <f t="shared" si="32"/>
        <v>0</v>
      </c>
      <c r="H496" s="31" t="str">
        <f t="shared" si="35"/>
        <v xml:space="preserve"> </v>
      </c>
      <c r="I496" s="92" t="s">
        <v>387</v>
      </c>
      <c r="J496" s="31">
        <v>92701000</v>
      </c>
      <c r="M496" s="31">
        <f t="shared" si="33"/>
        <v>0</v>
      </c>
    </row>
    <row r="497" spans="6:13" x14ac:dyDescent="0.25">
      <c r="F497" s="93" t="str">
        <f t="shared" si="34"/>
        <v/>
      </c>
      <c r="G497" s="31">
        <f t="shared" si="32"/>
        <v>0</v>
      </c>
      <c r="H497" s="31" t="str">
        <f t="shared" si="35"/>
        <v xml:space="preserve"> </v>
      </c>
      <c r="I497" s="92" t="s">
        <v>387</v>
      </c>
      <c r="J497" s="31">
        <v>92701000</v>
      </c>
      <c r="M497" s="31">
        <f t="shared" si="33"/>
        <v>0</v>
      </c>
    </row>
    <row r="498" spans="6:13" x14ac:dyDescent="0.25">
      <c r="F498" s="93" t="str">
        <f t="shared" si="34"/>
        <v/>
      </c>
      <c r="G498" s="31">
        <f t="shared" si="32"/>
        <v>0</v>
      </c>
      <c r="H498" s="31" t="str">
        <f t="shared" si="35"/>
        <v xml:space="preserve"> </v>
      </c>
      <c r="I498" s="92" t="s">
        <v>387</v>
      </c>
      <c r="J498" s="31">
        <v>92701000</v>
      </c>
      <c r="M498" s="31">
        <f t="shared" si="33"/>
        <v>0</v>
      </c>
    </row>
    <row r="499" spans="6:13" x14ac:dyDescent="0.25">
      <c r="F499" s="93" t="str">
        <f t="shared" si="34"/>
        <v/>
      </c>
      <c r="G499" s="31">
        <f t="shared" si="32"/>
        <v>0</v>
      </c>
      <c r="H499" s="31" t="str">
        <f t="shared" si="35"/>
        <v xml:space="preserve"> </v>
      </c>
      <c r="I499" s="92" t="s">
        <v>387</v>
      </c>
      <c r="J499" s="31">
        <v>92701000</v>
      </c>
      <c r="M499" s="31">
        <f t="shared" si="33"/>
        <v>0</v>
      </c>
    </row>
    <row r="500" spans="6:13" x14ac:dyDescent="0.25">
      <c r="F500" s="93" t="str">
        <f t="shared" si="34"/>
        <v/>
      </c>
      <c r="G500" s="31">
        <f t="shared" si="32"/>
        <v>0</v>
      </c>
      <c r="H500" s="31" t="str">
        <f t="shared" si="35"/>
        <v xml:space="preserve"> </v>
      </c>
      <c r="I500" s="92" t="s">
        <v>387</v>
      </c>
      <c r="J500" s="31">
        <v>92701000</v>
      </c>
      <c r="M500" s="31">
        <f t="shared" si="33"/>
        <v>0</v>
      </c>
    </row>
    <row r="501" spans="6:13" x14ac:dyDescent="0.25">
      <c r="F501" s="93" t="str">
        <f t="shared" si="34"/>
        <v/>
      </c>
      <c r="G501" s="31">
        <f t="shared" si="32"/>
        <v>0</v>
      </c>
      <c r="H501" s="31" t="str">
        <f t="shared" si="35"/>
        <v xml:space="preserve"> </v>
      </c>
      <c r="I501" s="92" t="s">
        <v>387</v>
      </c>
      <c r="J501" s="31">
        <v>92701000</v>
      </c>
      <c r="M501" s="31">
        <f t="shared" si="33"/>
        <v>0</v>
      </c>
    </row>
    <row r="502" spans="6:13" x14ac:dyDescent="0.25">
      <c r="F502" s="93" t="str">
        <f t="shared" si="34"/>
        <v/>
      </c>
      <c r="G502" s="31">
        <f t="shared" si="32"/>
        <v>0</v>
      </c>
      <c r="H502" s="31" t="str">
        <f t="shared" si="35"/>
        <v xml:space="preserve"> </v>
      </c>
      <c r="I502" s="92" t="s">
        <v>387</v>
      </c>
      <c r="J502" s="31">
        <v>92701000</v>
      </c>
      <c r="M502" s="31">
        <f t="shared" si="33"/>
        <v>0</v>
      </c>
    </row>
    <row r="503" spans="6:13" x14ac:dyDescent="0.25">
      <c r="F503" s="93" t="str">
        <f t="shared" si="34"/>
        <v/>
      </c>
      <c r="G503" s="31">
        <f t="shared" si="32"/>
        <v>0</v>
      </c>
      <c r="H503" s="31" t="str">
        <f t="shared" si="35"/>
        <v xml:space="preserve"> </v>
      </c>
      <c r="I503" s="92" t="s">
        <v>387</v>
      </c>
      <c r="J503" s="31">
        <v>92701000</v>
      </c>
      <c r="M503" s="31">
        <f t="shared" si="33"/>
        <v>0</v>
      </c>
    </row>
    <row r="504" spans="6:13" x14ac:dyDescent="0.25">
      <c r="F504" s="93" t="str">
        <f t="shared" si="34"/>
        <v/>
      </c>
      <c r="G504" s="31">
        <f t="shared" si="32"/>
        <v>0</v>
      </c>
      <c r="H504" s="31" t="str">
        <f t="shared" si="35"/>
        <v xml:space="preserve"> </v>
      </c>
      <c r="I504" s="92" t="s">
        <v>387</v>
      </c>
      <c r="J504" s="31">
        <v>92701000</v>
      </c>
      <c r="M504" s="31">
        <f t="shared" si="33"/>
        <v>0</v>
      </c>
    </row>
    <row r="505" spans="6:13" x14ac:dyDescent="0.25">
      <c r="F505" s="93" t="str">
        <f t="shared" si="34"/>
        <v/>
      </c>
      <c r="G505" s="31">
        <f t="shared" si="32"/>
        <v>0</v>
      </c>
      <c r="H505" s="31" t="str">
        <f t="shared" si="35"/>
        <v xml:space="preserve"> </v>
      </c>
      <c r="I505" s="92" t="s">
        <v>387</v>
      </c>
      <c r="J505" s="31">
        <v>92701000</v>
      </c>
      <c r="M505" s="31">
        <f t="shared" si="33"/>
        <v>0</v>
      </c>
    </row>
    <row r="506" spans="6:13" x14ac:dyDescent="0.25">
      <c r="F506" s="93" t="str">
        <f t="shared" si="34"/>
        <v/>
      </c>
      <c r="G506" s="31">
        <f t="shared" si="32"/>
        <v>0</v>
      </c>
      <c r="H506" s="31" t="str">
        <f t="shared" si="35"/>
        <v xml:space="preserve"> </v>
      </c>
      <c r="I506" s="92" t="s">
        <v>387</v>
      </c>
      <c r="J506" s="31">
        <v>92701000</v>
      </c>
      <c r="M506" s="31">
        <f t="shared" si="33"/>
        <v>0</v>
      </c>
    </row>
    <row r="507" spans="6:13" x14ac:dyDescent="0.25">
      <c r="F507" s="93" t="str">
        <f t="shared" si="34"/>
        <v/>
      </c>
      <c r="G507" s="31">
        <f t="shared" si="32"/>
        <v>0</v>
      </c>
      <c r="H507" s="31" t="str">
        <f t="shared" si="35"/>
        <v xml:space="preserve"> </v>
      </c>
      <c r="I507" s="92" t="s">
        <v>387</v>
      </c>
      <c r="J507" s="31">
        <v>92701000</v>
      </c>
      <c r="M507" s="31">
        <f t="shared" si="33"/>
        <v>0</v>
      </c>
    </row>
    <row r="508" spans="6:13" x14ac:dyDescent="0.25">
      <c r="F508" s="93" t="str">
        <f t="shared" si="34"/>
        <v/>
      </c>
      <c r="G508" s="31">
        <f t="shared" si="32"/>
        <v>0</v>
      </c>
      <c r="H508" s="31" t="str">
        <f t="shared" si="35"/>
        <v xml:space="preserve"> </v>
      </c>
      <c r="I508" s="92" t="s">
        <v>387</v>
      </c>
      <c r="J508" s="31">
        <v>92701000</v>
      </c>
      <c r="M508" s="31">
        <f t="shared" si="33"/>
        <v>0</v>
      </c>
    </row>
    <row r="509" spans="6:13" x14ac:dyDescent="0.25">
      <c r="F509" s="93" t="str">
        <f t="shared" si="34"/>
        <v/>
      </c>
      <c r="G509" s="31">
        <f t="shared" si="32"/>
        <v>0</v>
      </c>
      <c r="H509" s="31" t="str">
        <f t="shared" si="35"/>
        <v xml:space="preserve"> </v>
      </c>
      <c r="I509" s="92" t="s">
        <v>387</v>
      </c>
      <c r="J509" s="31">
        <v>92701000</v>
      </c>
      <c r="M509" s="31">
        <f t="shared" si="33"/>
        <v>0</v>
      </c>
    </row>
    <row r="510" spans="6:13" x14ac:dyDescent="0.25">
      <c r="F510" s="93" t="str">
        <f t="shared" si="34"/>
        <v/>
      </c>
      <c r="G510" s="31">
        <f t="shared" si="32"/>
        <v>0</v>
      </c>
      <c r="H510" s="31" t="str">
        <f t="shared" si="35"/>
        <v xml:space="preserve"> </v>
      </c>
      <c r="I510" s="92" t="s">
        <v>387</v>
      </c>
      <c r="J510" s="31">
        <v>92701000</v>
      </c>
      <c r="M510" s="31">
        <f t="shared" si="33"/>
        <v>0</v>
      </c>
    </row>
    <row r="511" spans="6:13" x14ac:dyDescent="0.25">
      <c r="F511" s="93" t="str">
        <f t="shared" si="34"/>
        <v/>
      </c>
      <c r="G511" s="31">
        <f t="shared" si="32"/>
        <v>0</v>
      </c>
      <c r="H511" s="31" t="str">
        <f t="shared" si="35"/>
        <v xml:space="preserve"> </v>
      </c>
      <c r="I511" s="92" t="s">
        <v>387</v>
      </c>
      <c r="J511" s="31">
        <v>92701000</v>
      </c>
      <c r="M511" s="31">
        <f t="shared" si="33"/>
        <v>0</v>
      </c>
    </row>
    <row r="512" spans="6:13" x14ac:dyDescent="0.25">
      <c r="F512" s="93" t="str">
        <f t="shared" si="34"/>
        <v/>
      </c>
      <c r="G512" s="31">
        <f t="shared" si="32"/>
        <v>0</v>
      </c>
      <c r="H512" s="31" t="str">
        <f t="shared" si="35"/>
        <v xml:space="preserve"> </v>
      </c>
      <c r="I512" s="92" t="s">
        <v>387</v>
      </c>
      <c r="J512" s="31">
        <v>92701000</v>
      </c>
      <c r="M512" s="31">
        <f t="shared" si="33"/>
        <v>0</v>
      </c>
    </row>
    <row r="513" spans="6:13" x14ac:dyDescent="0.25">
      <c r="F513" s="93" t="str">
        <f t="shared" si="34"/>
        <v/>
      </c>
      <c r="G513" s="31">
        <f t="shared" si="32"/>
        <v>0</v>
      </c>
      <c r="H513" s="31" t="str">
        <f t="shared" si="35"/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3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3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3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3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3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3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3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3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3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3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3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3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3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3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3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3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3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3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3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3" t="str">
        <f t="shared" si="34"/>
        <v/>
      </c>
      <c r="G533" s="31">
        <f t="shared" ref="G533:G596" si="36">B533</f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3" t="str">
        <f t="shared" si="34"/>
        <v/>
      </c>
      <c r="G534" s="31">
        <f t="shared" si="36"/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3" t="str">
        <f t="shared" si="34"/>
        <v/>
      </c>
      <c r="G535" s="31">
        <f t="shared" si="36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3" t="str">
        <f t="shared" si="34"/>
        <v/>
      </c>
      <c r="G536" s="31">
        <f t="shared" si="36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3" t="str">
        <f t="shared" si="34"/>
        <v/>
      </c>
      <c r="G537" s="31">
        <f t="shared" si="36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3" t="str">
        <f t="shared" si="34"/>
        <v/>
      </c>
      <c r="G538" s="31">
        <f t="shared" si="36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3" t="str">
        <f t="shared" si="34"/>
        <v/>
      </c>
      <c r="G539" s="31">
        <f t="shared" si="36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3" t="str">
        <f t="shared" si="34"/>
        <v/>
      </c>
      <c r="G540" s="31">
        <f t="shared" si="36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3" t="str">
        <f t="shared" si="34"/>
        <v/>
      </c>
      <c r="G541" s="31">
        <f t="shared" si="36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3" t="str">
        <f t="shared" si="34"/>
        <v/>
      </c>
      <c r="G542" s="31">
        <f t="shared" si="36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3" t="str">
        <f t="shared" si="34"/>
        <v/>
      </c>
      <c r="G543" s="31">
        <f t="shared" si="36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3" t="str">
        <f t="shared" si="34"/>
        <v/>
      </c>
      <c r="G544" s="31">
        <f t="shared" si="36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3" t="str">
        <f t="shared" si="34"/>
        <v/>
      </c>
      <c r="G545" s="31">
        <f t="shared" si="36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3" t="str">
        <f t="shared" si="34"/>
        <v/>
      </c>
      <c r="G546" s="31">
        <f t="shared" si="36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3" t="str">
        <f t="shared" si="34"/>
        <v/>
      </c>
      <c r="G547" s="31">
        <f t="shared" si="36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3" t="str">
        <f t="shared" si="34"/>
        <v/>
      </c>
      <c r="G548" s="31">
        <f t="shared" si="36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3" t="str">
        <f t="shared" si="34"/>
        <v/>
      </c>
      <c r="G549" s="31">
        <f t="shared" si="36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3" t="str">
        <f t="shared" si="34"/>
        <v/>
      </c>
      <c r="G550" s="31">
        <f t="shared" si="36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ref="M550:M613" si="37">E550</f>
        <v>0</v>
      </c>
    </row>
    <row r="551" spans="6:13" x14ac:dyDescent="0.25">
      <c r="F551" s="93" t="str">
        <f t="shared" si="34"/>
        <v/>
      </c>
      <c r="G551" s="31">
        <f t="shared" si="36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si="37"/>
        <v>0</v>
      </c>
    </row>
    <row r="552" spans="6:13" x14ac:dyDescent="0.25">
      <c r="F552" s="93" t="str">
        <f t="shared" si="34"/>
        <v/>
      </c>
      <c r="G552" s="31">
        <f t="shared" si="36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7"/>
        <v>0</v>
      </c>
    </row>
    <row r="553" spans="6:13" x14ac:dyDescent="0.25">
      <c r="F553" s="93" t="str">
        <f t="shared" ref="F553:F616" si="38">TRIM(A553)</f>
        <v/>
      </c>
      <c r="G553" s="31">
        <f t="shared" si="36"/>
        <v>0</v>
      </c>
      <c r="H553" s="31" t="str">
        <f t="shared" ref="H553:H616" si="39">CONCATENATE(TRIM(C553)," ",D553)</f>
        <v xml:space="preserve"> </v>
      </c>
      <c r="I553" s="92" t="s">
        <v>387</v>
      </c>
      <c r="J553" s="31">
        <v>92701000</v>
      </c>
      <c r="M553" s="31">
        <f t="shared" si="37"/>
        <v>0</v>
      </c>
    </row>
    <row r="554" spans="6:13" x14ac:dyDescent="0.25">
      <c r="F554" s="93" t="str">
        <f t="shared" si="38"/>
        <v/>
      </c>
      <c r="G554" s="31">
        <f t="shared" si="36"/>
        <v>0</v>
      </c>
      <c r="H554" s="31" t="str">
        <f t="shared" si="39"/>
        <v xml:space="preserve"> </v>
      </c>
      <c r="I554" s="92" t="s">
        <v>387</v>
      </c>
      <c r="J554" s="31">
        <v>92701000</v>
      </c>
      <c r="M554" s="31">
        <f t="shared" si="37"/>
        <v>0</v>
      </c>
    </row>
    <row r="555" spans="6:13" x14ac:dyDescent="0.25">
      <c r="F555" s="93" t="str">
        <f t="shared" si="38"/>
        <v/>
      </c>
      <c r="G555" s="31">
        <f t="shared" si="36"/>
        <v>0</v>
      </c>
      <c r="H555" s="31" t="str">
        <f t="shared" si="39"/>
        <v xml:space="preserve"> </v>
      </c>
      <c r="I555" s="92" t="s">
        <v>387</v>
      </c>
      <c r="J555" s="31">
        <v>92701000</v>
      </c>
      <c r="M555" s="31">
        <f t="shared" si="37"/>
        <v>0</v>
      </c>
    </row>
    <row r="556" spans="6:13" x14ac:dyDescent="0.25">
      <c r="F556" s="93" t="str">
        <f t="shared" si="38"/>
        <v/>
      </c>
      <c r="G556" s="31">
        <f t="shared" si="36"/>
        <v>0</v>
      </c>
      <c r="H556" s="31" t="str">
        <f t="shared" si="39"/>
        <v xml:space="preserve"> </v>
      </c>
      <c r="I556" s="92" t="s">
        <v>387</v>
      </c>
      <c r="J556" s="31">
        <v>92701000</v>
      </c>
      <c r="M556" s="31">
        <f t="shared" si="37"/>
        <v>0</v>
      </c>
    </row>
    <row r="557" spans="6:13" x14ac:dyDescent="0.25">
      <c r="F557" s="93" t="str">
        <f t="shared" si="38"/>
        <v/>
      </c>
      <c r="G557" s="31">
        <f t="shared" si="36"/>
        <v>0</v>
      </c>
      <c r="H557" s="31" t="str">
        <f t="shared" si="39"/>
        <v xml:space="preserve"> </v>
      </c>
      <c r="I557" s="92" t="s">
        <v>387</v>
      </c>
      <c r="J557" s="31">
        <v>92701000</v>
      </c>
      <c r="M557" s="31">
        <f t="shared" si="37"/>
        <v>0</v>
      </c>
    </row>
    <row r="558" spans="6:13" x14ac:dyDescent="0.25">
      <c r="F558" s="93" t="str">
        <f t="shared" si="38"/>
        <v/>
      </c>
      <c r="G558" s="31">
        <f t="shared" si="36"/>
        <v>0</v>
      </c>
      <c r="H558" s="31" t="str">
        <f t="shared" si="39"/>
        <v xml:space="preserve"> </v>
      </c>
      <c r="I558" s="92" t="s">
        <v>387</v>
      </c>
      <c r="J558" s="31">
        <v>92701000</v>
      </c>
      <c r="M558" s="31">
        <f t="shared" si="37"/>
        <v>0</v>
      </c>
    </row>
    <row r="559" spans="6:13" x14ac:dyDescent="0.25">
      <c r="F559" s="93" t="str">
        <f t="shared" si="38"/>
        <v/>
      </c>
      <c r="G559" s="31">
        <f t="shared" si="36"/>
        <v>0</v>
      </c>
      <c r="H559" s="31" t="str">
        <f t="shared" si="39"/>
        <v xml:space="preserve"> </v>
      </c>
      <c r="I559" s="92" t="s">
        <v>387</v>
      </c>
      <c r="J559" s="31">
        <v>92701000</v>
      </c>
      <c r="M559" s="31">
        <f t="shared" si="37"/>
        <v>0</v>
      </c>
    </row>
    <row r="560" spans="6:13" x14ac:dyDescent="0.25">
      <c r="F560" s="93" t="str">
        <f t="shared" si="38"/>
        <v/>
      </c>
      <c r="G560" s="31">
        <f t="shared" si="36"/>
        <v>0</v>
      </c>
      <c r="H560" s="31" t="str">
        <f t="shared" si="39"/>
        <v xml:space="preserve"> </v>
      </c>
      <c r="I560" s="92" t="s">
        <v>387</v>
      </c>
      <c r="J560" s="31">
        <v>92701000</v>
      </c>
      <c r="M560" s="31">
        <f t="shared" si="37"/>
        <v>0</v>
      </c>
    </row>
    <row r="561" spans="6:13" x14ac:dyDescent="0.25">
      <c r="F561" s="93" t="str">
        <f t="shared" si="38"/>
        <v/>
      </c>
      <c r="G561" s="31">
        <f t="shared" si="36"/>
        <v>0</v>
      </c>
      <c r="H561" s="31" t="str">
        <f t="shared" si="39"/>
        <v xml:space="preserve"> </v>
      </c>
      <c r="I561" s="92" t="s">
        <v>387</v>
      </c>
      <c r="J561" s="31">
        <v>92701000</v>
      </c>
      <c r="M561" s="31">
        <f t="shared" si="37"/>
        <v>0</v>
      </c>
    </row>
    <row r="562" spans="6:13" x14ac:dyDescent="0.25">
      <c r="F562" s="93" t="str">
        <f t="shared" si="38"/>
        <v/>
      </c>
      <c r="G562" s="31">
        <f t="shared" si="36"/>
        <v>0</v>
      </c>
      <c r="H562" s="31" t="str">
        <f t="shared" si="39"/>
        <v xml:space="preserve"> </v>
      </c>
      <c r="I562" s="92" t="s">
        <v>387</v>
      </c>
      <c r="J562" s="31">
        <v>92701000</v>
      </c>
      <c r="M562" s="31">
        <f t="shared" si="37"/>
        <v>0</v>
      </c>
    </row>
    <row r="563" spans="6:13" x14ac:dyDescent="0.25">
      <c r="F563" s="93" t="str">
        <f t="shared" si="38"/>
        <v/>
      </c>
      <c r="G563" s="31">
        <f t="shared" si="36"/>
        <v>0</v>
      </c>
      <c r="H563" s="31" t="str">
        <f t="shared" si="39"/>
        <v xml:space="preserve"> </v>
      </c>
      <c r="I563" s="92" t="s">
        <v>387</v>
      </c>
      <c r="J563" s="31">
        <v>92701000</v>
      </c>
      <c r="M563" s="31">
        <f t="shared" si="37"/>
        <v>0</v>
      </c>
    </row>
    <row r="564" spans="6:13" x14ac:dyDescent="0.25">
      <c r="F564" s="93" t="str">
        <f t="shared" si="38"/>
        <v/>
      </c>
      <c r="G564" s="31">
        <f t="shared" si="36"/>
        <v>0</v>
      </c>
      <c r="H564" s="31" t="str">
        <f t="shared" si="39"/>
        <v xml:space="preserve"> </v>
      </c>
      <c r="I564" s="92" t="s">
        <v>387</v>
      </c>
      <c r="J564" s="31">
        <v>92701000</v>
      </c>
      <c r="M564" s="31">
        <f t="shared" si="37"/>
        <v>0</v>
      </c>
    </row>
    <row r="565" spans="6:13" x14ac:dyDescent="0.25">
      <c r="F565" s="93" t="str">
        <f t="shared" si="38"/>
        <v/>
      </c>
      <c r="G565" s="31">
        <f t="shared" si="36"/>
        <v>0</v>
      </c>
      <c r="H565" s="31" t="str">
        <f t="shared" si="39"/>
        <v xml:space="preserve"> </v>
      </c>
      <c r="I565" s="92" t="s">
        <v>387</v>
      </c>
      <c r="J565" s="31">
        <v>92701000</v>
      </c>
      <c r="M565" s="31">
        <f t="shared" si="37"/>
        <v>0</v>
      </c>
    </row>
    <row r="566" spans="6:13" x14ac:dyDescent="0.25">
      <c r="F566" s="93" t="str">
        <f t="shared" si="38"/>
        <v/>
      </c>
      <c r="G566" s="31">
        <f t="shared" si="36"/>
        <v>0</v>
      </c>
      <c r="H566" s="31" t="str">
        <f t="shared" si="39"/>
        <v xml:space="preserve"> </v>
      </c>
      <c r="I566" s="92" t="s">
        <v>387</v>
      </c>
      <c r="J566" s="31">
        <v>92701000</v>
      </c>
      <c r="M566" s="31">
        <f t="shared" si="37"/>
        <v>0</v>
      </c>
    </row>
    <row r="567" spans="6:13" x14ac:dyDescent="0.25">
      <c r="F567" s="93" t="str">
        <f t="shared" si="38"/>
        <v/>
      </c>
      <c r="G567" s="31">
        <f t="shared" si="36"/>
        <v>0</v>
      </c>
      <c r="H567" s="31" t="str">
        <f t="shared" si="39"/>
        <v xml:space="preserve"> </v>
      </c>
      <c r="I567" s="92" t="s">
        <v>387</v>
      </c>
      <c r="J567" s="31">
        <v>92701000</v>
      </c>
      <c r="M567" s="31">
        <f t="shared" si="37"/>
        <v>0</v>
      </c>
    </row>
    <row r="568" spans="6:13" x14ac:dyDescent="0.25">
      <c r="F568" s="93" t="str">
        <f t="shared" si="38"/>
        <v/>
      </c>
      <c r="G568" s="31">
        <f t="shared" si="36"/>
        <v>0</v>
      </c>
      <c r="H568" s="31" t="str">
        <f t="shared" si="39"/>
        <v xml:space="preserve"> </v>
      </c>
      <c r="I568" s="92" t="s">
        <v>387</v>
      </c>
      <c r="J568" s="31">
        <v>92701000</v>
      </c>
      <c r="M568" s="31">
        <f t="shared" si="37"/>
        <v>0</v>
      </c>
    </row>
    <row r="569" spans="6:13" x14ac:dyDescent="0.25">
      <c r="F569" s="93" t="str">
        <f t="shared" si="38"/>
        <v/>
      </c>
      <c r="G569" s="31">
        <f t="shared" si="36"/>
        <v>0</v>
      </c>
      <c r="H569" s="31" t="str">
        <f t="shared" si="39"/>
        <v xml:space="preserve"> </v>
      </c>
      <c r="I569" s="92" t="s">
        <v>387</v>
      </c>
      <c r="J569" s="31">
        <v>92701000</v>
      </c>
      <c r="M569" s="31">
        <f t="shared" si="37"/>
        <v>0</v>
      </c>
    </row>
    <row r="570" spans="6:13" x14ac:dyDescent="0.25">
      <c r="F570" s="93" t="str">
        <f t="shared" si="38"/>
        <v/>
      </c>
      <c r="G570" s="31">
        <f t="shared" si="36"/>
        <v>0</v>
      </c>
      <c r="H570" s="31" t="str">
        <f t="shared" si="39"/>
        <v xml:space="preserve"> </v>
      </c>
      <c r="I570" s="92" t="s">
        <v>387</v>
      </c>
      <c r="J570" s="31">
        <v>92701000</v>
      </c>
      <c r="M570" s="31">
        <f t="shared" si="37"/>
        <v>0</v>
      </c>
    </row>
    <row r="571" spans="6:13" x14ac:dyDescent="0.25">
      <c r="F571" s="93" t="str">
        <f t="shared" si="38"/>
        <v/>
      </c>
      <c r="G571" s="31">
        <f t="shared" si="36"/>
        <v>0</v>
      </c>
      <c r="H571" s="31" t="str">
        <f t="shared" si="39"/>
        <v xml:space="preserve"> </v>
      </c>
      <c r="I571" s="92" t="s">
        <v>387</v>
      </c>
      <c r="J571" s="31">
        <v>92701000</v>
      </c>
      <c r="M571" s="31">
        <f t="shared" si="37"/>
        <v>0</v>
      </c>
    </row>
    <row r="572" spans="6:13" x14ac:dyDescent="0.25">
      <c r="F572" s="93" t="str">
        <f t="shared" si="38"/>
        <v/>
      </c>
      <c r="G572" s="31">
        <f t="shared" si="36"/>
        <v>0</v>
      </c>
      <c r="H572" s="31" t="str">
        <f t="shared" si="39"/>
        <v xml:space="preserve"> </v>
      </c>
      <c r="I572" s="92" t="s">
        <v>387</v>
      </c>
      <c r="J572" s="31">
        <v>92701000</v>
      </c>
      <c r="M572" s="31">
        <f t="shared" si="37"/>
        <v>0</v>
      </c>
    </row>
    <row r="573" spans="6:13" x14ac:dyDescent="0.25">
      <c r="F573" s="93" t="str">
        <f t="shared" si="38"/>
        <v/>
      </c>
      <c r="G573" s="31">
        <f t="shared" si="36"/>
        <v>0</v>
      </c>
      <c r="H573" s="31" t="str">
        <f t="shared" si="39"/>
        <v xml:space="preserve"> </v>
      </c>
      <c r="I573" s="92" t="s">
        <v>387</v>
      </c>
      <c r="J573" s="31">
        <v>92701000</v>
      </c>
      <c r="M573" s="31">
        <f t="shared" si="37"/>
        <v>0</v>
      </c>
    </row>
    <row r="574" spans="6:13" x14ac:dyDescent="0.25">
      <c r="F574" s="93" t="str">
        <f t="shared" si="38"/>
        <v/>
      </c>
      <c r="G574" s="31">
        <f t="shared" si="36"/>
        <v>0</v>
      </c>
      <c r="H574" s="31" t="str">
        <f t="shared" si="39"/>
        <v xml:space="preserve"> </v>
      </c>
      <c r="I574" s="92" t="s">
        <v>387</v>
      </c>
      <c r="J574" s="31">
        <v>92701000</v>
      </c>
      <c r="M574" s="31">
        <f t="shared" si="37"/>
        <v>0</v>
      </c>
    </row>
    <row r="575" spans="6:13" x14ac:dyDescent="0.25">
      <c r="F575" s="93" t="str">
        <f t="shared" si="38"/>
        <v/>
      </c>
      <c r="G575" s="31">
        <f t="shared" si="36"/>
        <v>0</v>
      </c>
      <c r="H575" s="31" t="str">
        <f t="shared" si="39"/>
        <v xml:space="preserve"> </v>
      </c>
      <c r="I575" s="92" t="s">
        <v>387</v>
      </c>
      <c r="J575" s="31">
        <v>92701000</v>
      </c>
      <c r="M575" s="31">
        <f t="shared" si="37"/>
        <v>0</v>
      </c>
    </row>
    <row r="576" spans="6:13" x14ac:dyDescent="0.25">
      <c r="F576" s="93" t="str">
        <f t="shared" si="38"/>
        <v/>
      </c>
      <c r="G576" s="31">
        <f t="shared" si="36"/>
        <v>0</v>
      </c>
      <c r="H576" s="31" t="str">
        <f t="shared" si="39"/>
        <v xml:space="preserve"> </v>
      </c>
      <c r="I576" s="92" t="s">
        <v>387</v>
      </c>
      <c r="J576" s="31">
        <v>92701000</v>
      </c>
      <c r="M576" s="31">
        <f t="shared" si="37"/>
        <v>0</v>
      </c>
    </row>
    <row r="577" spans="6:13" x14ac:dyDescent="0.25">
      <c r="F577" s="93" t="str">
        <f t="shared" si="38"/>
        <v/>
      </c>
      <c r="G577" s="31">
        <f t="shared" si="36"/>
        <v>0</v>
      </c>
      <c r="H577" s="31" t="str">
        <f t="shared" si="39"/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3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3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3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3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3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3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3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3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3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3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3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3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3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3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3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3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3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3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3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3" t="str">
        <f t="shared" si="38"/>
        <v/>
      </c>
      <c r="G597" s="31">
        <f t="shared" ref="G597:G660" si="40">B597</f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3" t="str">
        <f t="shared" si="38"/>
        <v/>
      </c>
      <c r="G598" s="31">
        <f t="shared" si="40"/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3" t="str">
        <f t="shared" si="38"/>
        <v/>
      </c>
      <c r="G599" s="31">
        <f t="shared" si="40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3" t="str">
        <f t="shared" si="38"/>
        <v/>
      </c>
      <c r="G600" s="31">
        <f t="shared" si="40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3" t="str">
        <f t="shared" si="38"/>
        <v/>
      </c>
      <c r="G601" s="31">
        <f t="shared" si="40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3" t="str">
        <f t="shared" si="38"/>
        <v/>
      </c>
      <c r="G602" s="31">
        <f t="shared" si="40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3" t="str">
        <f t="shared" si="38"/>
        <v/>
      </c>
      <c r="G603" s="31">
        <f t="shared" si="40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3" t="str">
        <f t="shared" si="38"/>
        <v/>
      </c>
      <c r="G604" s="31">
        <f t="shared" si="40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3" t="str">
        <f t="shared" si="38"/>
        <v/>
      </c>
      <c r="G605" s="31">
        <f t="shared" si="40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3" t="str">
        <f t="shared" si="38"/>
        <v/>
      </c>
      <c r="G606" s="31">
        <f t="shared" si="40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3" t="str">
        <f t="shared" si="38"/>
        <v/>
      </c>
      <c r="G607" s="31">
        <f t="shared" si="40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3" t="str">
        <f t="shared" si="38"/>
        <v/>
      </c>
      <c r="G608" s="31">
        <f t="shared" si="40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3" t="str">
        <f t="shared" si="38"/>
        <v/>
      </c>
      <c r="G609" s="31">
        <f t="shared" si="40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3" t="str">
        <f t="shared" si="38"/>
        <v/>
      </c>
      <c r="G610" s="31">
        <f t="shared" si="40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3" t="str">
        <f t="shared" si="38"/>
        <v/>
      </c>
      <c r="G611" s="31">
        <f t="shared" si="40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3" t="str">
        <f t="shared" si="38"/>
        <v/>
      </c>
      <c r="G612" s="31">
        <f t="shared" si="40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3" t="str">
        <f t="shared" si="38"/>
        <v/>
      </c>
      <c r="G613" s="31">
        <f t="shared" si="40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3" t="str">
        <f t="shared" si="38"/>
        <v/>
      </c>
      <c r="G614" s="31">
        <f t="shared" si="40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ref="M614:M677" si="41">E614</f>
        <v>0</v>
      </c>
    </row>
    <row r="615" spans="6:13" x14ac:dyDescent="0.25">
      <c r="F615" s="93" t="str">
        <f t="shared" si="38"/>
        <v/>
      </c>
      <c r="G615" s="31">
        <f t="shared" si="40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si="41"/>
        <v>0</v>
      </c>
    </row>
    <row r="616" spans="6:13" x14ac:dyDescent="0.25">
      <c r="F616" s="93" t="str">
        <f t="shared" si="38"/>
        <v/>
      </c>
      <c r="G616" s="31">
        <f t="shared" si="40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41"/>
        <v>0</v>
      </c>
    </row>
    <row r="617" spans="6:13" x14ac:dyDescent="0.25">
      <c r="F617" s="93" t="str">
        <f t="shared" ref="F617:F680" si="42">TRIM(A617)</f>
        <v/>
      </c>
      <c r="G617" s="31">
        <f t="shared" si="40"/>
        <v>0</v>
      </c>
      <c r="H617" s="31" t="str">
        <f t="shared" ref="H617:H680" si="43">CONCATENATE(TRIM(C617)," ",D617)</f>
        <v xml:space="preserve"> </v>
      </c>
      <c r="I617" s="92" t="s">
        <v>387</v>
      </c>
      <c r="J617" s="31">
        <v>92701000</v>
      </c>
      <c r="M617" s="31">
        <f t="shared" si="41"/>
        <v>0</v>
      </c>
    </row>
    <row r="618" spans="6:13" x14ac:dyDescent="0.25">
      <c r="F618" s="93" t="str">
        <f t="shared" si="42"/>
        <v/>
      </c>
      <c r="G618" s="31">
        <f t="shared" si="40"/>
        <v>0</v>
      </c>
      <c r="H618" s="31" t="str">
        <f t="shared" si="43"/>
        <v xml:space="preserve"> </v>
      </c>
      <c r="I618" s="92" t="s">
        <v>387</v>
      </c>
      <c r="J618" s="31">
        <v>92701000</v>
      </c>
      <c r="M618" s="31">
        <f t="shared" si="41"/>
        <v>0</v>
      </c>
    </row>
    <row r="619" spans="6:13" x14ac:dyDescent="0.25">
      <c r="F619" s="93" t="str">
        <f t="shared" si="42"/>
        <v/>
      </c>
      <c r="G619" s="31">
        <f t="shared" si="40"/>
        <v>0</v>
      </c>
      <c r="H619" s="31" t="str">
        <f t="shared" si="43"/>
        <v xml:space="preserve"> </v>
      </c>
      <c r="I619" s="92" t="s">
        <v>387</v>
      </c>
      <c r="J619" s="31">
        <v>92701000</v>
      </c>
      <c r="M619" s="31">
        <f t="shared" si="41"/>
        <v>0</v>
      </c>
    </row>
    <row r="620" spans="6:13" x14ac:dyDescent="0.25">
      <c r="F620" s="93" t="str">
        <f t="shared" si="42"/>
        <v/>
      </c>
      <c r="G620" s="31">
        <f t="shared" si="40"/>
        <v>0</v>
      </c>
      <c r="H620" s="31" t="str">
        <f t="shared" si="43"/>
        <v xml:space="preserve"> </v>
      </c>
      <c r="I620" s="92" t="s">
        <v>387</v>
      </c>
      <c r="J620" s="31">
        <v>92701000</v>
      </c>
      <c r="M620" s="31">
        <f t="shared" si="41"/>
        <v>0</v>
      </c>
    </row>
    <row r="621" spans="6:13" x14ac:dyDescent="0.25">
      <c r="F621" s="93" t="str">
        <f t="shared" si="42"/>
        <v/>
      </c>
      <c r="G621" s="31">
        <f t="shared" si="40"/>
        <v>0</v>
      </c>
      <c r="H621" s="31" t="str">
        <f t="shared" si="43"/>
        <v xml:space="preserve"> </v>
      </c>
      <c r="I621" s="92" t="s">
        <v>387</v>
      </c>
      <c r="J621" s="31">
        <v>92701000</v>
      </c>
      <c r="M621" s="31">
        <f t="shared" si="41"/>
        <v>0</v>
      </c>
    </row>
    <row r="622" spans="6:13" x14ac:dyDescent="0.25">
      <c r="F622" s="93" t="str">
        <f t="shared" si="42"/>
        <v/>
      </c>
      <c r="G622" s="31">
        <f t="shared" si="40"/>
        <v>0</v>
      </c>
      <c r="H622" s="31" t="str">
        <f t="shared" si="43"/>
        <v xml:space="preserve"> </v>
      </c>
      <c r="I622" s="92" t="s">
        <v>387</v>
      </c>
      <c r="J622" s="31">
        <v>92701000</v>
      </c>
      <c r="M622" s="31">
        <f t="shared" si="41"/>
        <v>0</v>
      </c>
    </row>
    <row r="623" spans="6:13" x14ac:dyDescent="0.25">
      <c r="F623" s="93" t="str">
        <f t="shared" si="42"/>
        <v/>
      </c>
      <c r="G623" s="31">
        <f t="shared" si="40"/>
        <v>0</v>
      </c>
      <c r="H623" s="31" t="str">
        <f t="shared" si="43"/>
        <v xml:space="preserve"> </v>
      </c>
      <c r="I623" s="92" t="s">
        <v>387</v>
      </c>
      <c r="J623" s="31">
        <v>92701000</v>
      </c>
      <c r="M623" s="31">
        <f t="shared" si="41"/>
        <v>0</v>
      </c>
    </row>
    <row r="624" spans="6:13" x14ac:dyDescent="0.25">
      <c r="F624" s="93" t="str">
        <f t="shared" si="42"/>
        <v/>
      </c>
      <c r="G624" s="31">
        <f t="shared" si="40"/>
        <v>0</v>
      </c>
      <c r="H624" s="31" t="str">
        <f t="shared" si="43"/>
        <v xml:space="preserve"> </v>
      </c>
      <c r="I624" s="92" t="s">
        <v>387</v>
      </c>
      <c r="J624" s="31">
        <v>92701000</v>
      </c>
      <c r="M624" s="31">
        <f t="shared" si="41"/>
        <v>0</v>
      </c>
    </row>
    <row r="625" spans="6:13" x14ac:dyDescent="0.25">
      <c r="F625" s="93" t="str">
        <f t="shared" si="42"/>
        <v/>
      </c>
      <c r="G625" s="31">
        <f t="shared" si="40"/>
        <v>0</v>
      </c>
      <c r="H625" s="31" t="str">
        <f t="shared" si="43"/>
        <v xml:space="preserve"> </v>
      </c>
      <c r="I625" s="92" t="s">
        <v>387</v>
      </c>
      <c r="J625" s="31">
        <v>92701000</v>
      </c>
      <c r="M625" s="31">
        <f t="shared" si="41"/>
        <v>0</v>
      </c>
    </row>
    <row r="626" spans="6:13" x14ac:dyDescent="0.25">
      <c r="F626" s="93" t="str">
        <f t="shared" si="42"/>
        <v/>
      </c>
      <c r="G626" s="31">
        <f t="shared" si="40"/>
        <v>0</v>
      </c>
      <c r="H626" s="31" t="str">
        <f t="shared" si="43"/>
        <v xml:space="preserve"> </v>
      </c>
      <c r="I626" s="92" t="s">
        <v>387</v>
      </c>
      <c r="J626" s="31">
        <v>92701000</v>
      </c>
      <c r="M626" s="31">
        <f t="shared" si="41"/>
        <v>0</v>
      </c>
    </row>
    <row r="627" spans="6:13" x14ac:dyDescent="0.25">
      <c r="F627" s="93" t="str">
        <f t="shared" si="42"/>
        <v/>
      </c>
      <c r="G627" s="31">
        <f t="shared" si="40"/>
        <v>0</v>
      </c>
      <c r="H627" s="31" t="str">
        <f t="shared" si="43"/>
        <v xml:space="preserve"> </v>
      </c>
      <c r="I627" s="92" t="s">
        <v>387</v>
      </c>
      <c r="J627" s="31">
        <v>92701000</v>
      </c>
      <c r="M627" s="31">
        <f t="shared" si="41"/>
        <v>0</v>
      </c>
    </row>
    <row r="628" spans="6:13" x14ac:dyDescent="0.25">
      <c r="F628" s="93" t="str">
        <f t="shared" si="42"/>
        <v/>
      </c>
      <c r="G628" s="31">
        <f t="shared" si="40"/>
        <v>0</v>
      </c>
      <c r="H628" s="31" t="str">
        <f t="shared" si="43"/>
        <v xml:space="preserve"> </v>
      </c>
      <c r="I628" s="92" t="s">
        <v>387</v>
      </c>
      <c r="J628" s="31">
        <v>92701000</v>
      </c>
      <c r="M628" s="31">
        <f t="shared" si="41"/>
        <v>0</v>
      </c>
    </row>
    <row r="629" spans="6:13" x14ac:dyDescent="0.25">
      <c r="F629" s="93" t="str">
        <f t="shared" si="42"/>
        <v/>
      </c>
      <c r="G629" s="31">
        <f t="shared" si="40"/>
        <v>0</v>
      </c>
      <c r="H629" s="31" t="str">
        <f t="shared" si="43"/>
        <v xml:space="preserve"> </v>
      </c>
      <c r="I629" s="92" t="s">
        <v>387</v>
      </c>
      <c r="J629" s="31">
        <v>92701000</v>
      </c>
      <c r="M629" s="31">
        <f t="shared" si="41"/>
        <v>0</v>
      </c>
    </row>
    <row r="630" spans="6:13" x14ac:dyDescent="0.25">
      <c r="F630" s="93" t="str">
        <f t="shared" si="42"/>
        <v/>
      </c>
      <c r="G630" s="31">
        <f t="shared" si="40"/>
        <v>0</v>
      </c>
      <c r="H630" s="31" t="str">
        <f t="shared" si="43"/>
        <v xml:space="preserve"> </v>
      </c>
      <c r="I630" s="92" t="s">
        <v>387</v>
      </c>
      <c r="J630" s="31">
        <v>92701000</v>
      </c>
      <c r="M630" s="31">
        <f t="shared" si="41"/>
        <v>0</v>
      </c>
    </row>
    <row r="631" spans="6:13" x14ac:dyDescent="0.25">
      <c r="F631" s="93" t="str">
        <f t="shared" si="42"/>
        <v/>
      </c>
      <c r="G631" s="31">
        <f t="shared" si="40"/>
        <v>0</v>
      </c>
      <c r="H631" s="31" t="str">
        <f t="shared" si="43"/>
        <v xml:space="preserve"> </v>
      </c>
      <c r="I631" s="92" t="s">
        <v>387</v>
      </c>
      <c r="J631" s="31">
        <v>92701000</v>
      </c>
      <c r="M631" s="31">
        <f t="shared" si="41"/>
        <v>0</v>
      </c>
    </row>
    <row r="632" spans="6:13" x14ac:dyDescent="0.25">
      <c r="F632" s="93" t="str">
        <f t="shared" si="42"/>
        <v/>
      </c>
      <c r="G632" s="31">
        <f t="shared" si="40"/>
        <v>0</v>
      </c>
      <c r="H632" s="31" t="str">
        <f t="shared" si="43"/>
        <v xml:space="preserve"> </v>
      </c>
      <c r="I632" s="92" t="s">
        <v>387</v>
      </c>
      <c r="J632" s="31">
        <v>92701000</v>
      </c>
      <c r="M632" s="31">
        <f t="shared" si="41"/>
        <v>0</v>
      </c>
    </row>
    <row r="633" spans="6:13" x14ac:dyDescent="0.25">
      <c r="F633" s="93" t="str">
        <f t="shared" si="42"/>
        <v/>
      </c>
      <c r="G633" s="31">
        <f t="shared" si="40"/>
        <v>0</v>
      </c>
      <c r="H633" s="31" t="str">
        <f t="shared" si="43"/>
        <v xml:space="preserve"> </v>
      </c>
      <c r="I633" s="92" t="s">
        <v>387</v>
      </c>
      <c r="J633" s="31">
        <v>92701000</v>
      </c>
      <c r="M633" s="31">
        <f t="shared" si="41"/>
        <v>0</v>
      </c>
    </row>
    <row r="634" spans="6:13" x14ac:dyDescent="0.25">
      <c r="F634" s="93" t="str">
        <f t="shared" si="42"/>
        <v/>
      </c>
      <c r="G634" s="31">
        <f t="shared" si="40"/>
        <v>0</v>
      </c>
      <c r="H634" s="31" t="str">
        <f t="shared" si="43"/>
        <v xml:space="preserve"> </v>
      </c>
      <c r="I634" s="92" t="s">
        <v>387</v>
      </c>
      <c r="J634" s="31">
        <v>92701000</v>
      </c>
      <c r="M634" s="31">
        <f t="shared" si="41"/>
        <v>0</v>
      </c>
    </row>
    <row r="635" spans="6:13" x14ac:dyDescent="0.25">
      <c r="F635" s="93" t="str">
        <f t="shared" si="42"/>
        <v/>
      </c>
      <c r="G635" s="31">
        <f t="shared" si="40"/>
        <v>0</v>
      </c>
      <c r="H635" s="31" t="str">
        <f t="shared" si="43"/>
        <v xml:space="preserve"> </v>
      </c>
      <c r="I635" s="92" t="s">
        <v>387</v>
      </c>
      <c r="J635" s="31">
        <v>92701000</v>
      </c>
      <c r="M635" s="31">
        <f t="shared" si="41"/>
        <v>0</v>
      </c>
    </row>
    <row r="636" spans="6:13" x14ac:dyDescent="0.25">
      <c r="F636" s="93" t="str">
        <f t="shared" si="42"/>
        <v/>
      </c>
      <c r="G636" s="31">
        <f t="shared" si="40"/>
        <v>0</v>
      </c>
      <c r="H636" s="31" t="str">
        <f t="shared" si="43"/>
        <v xml:space="preserve"> </v>
      </c>
      <c r="I636" s="92" t="s">
        <v>387</v>
      </c>
      <c r="J636" s="31">
        <v>92701000</v>
      </c>
      <c r="M636" s="31">
        <f t="shared" si="41"/>
        <v>0</v>
      </c>
    </row>
    <row r="637" spans="6:13" x14ac:dyDescent="0.25">
      <c r="F637" s="93" t="str">
        <f t="shared" si="42"/>
        <v/>
      </c>
      <c r="G637" s="31">
        <f t="shared" si="40"/>
        <v>0</v>
      </c>
      <c r="H637" s="31" t="str">
        <f t="shared" si="43"/>
        <v xml:space="preserve"> </v>
      </c>
      <c r="I637" s="92" t="s">
        <v>387</v>
      </c>
      <c r="J637" s="31">
        <v>92701000</v>
      </c>
      <c r="M637" s="31">
        <f t="shared" si="41"/>
        <v>0</v>
      </c>
    </row>
    <row r="638" spans="6:13" x14ac:dyDescent="0.25">
      <c r="F638" s="93" t="str">
        <f t="shared" si="42"/>
        <v/>
      </c>
      <c r="G638" s="31">
        <f t="shared" si="40"/>
        <v>0</v>
      </c>
      <c r="H638" s="31" t="str">
        <f t="shared" si="43"/>
        <v xml:space="preserve"> </v>
      </c>
      <c r="I638" s="92" t="s">
        <v>387</v>
      </c>
      <c r="J638" s="31">
        <v>92701000</v>
      </c>
      <c r="M638" s="31">
        <f t="shared" si="41"/>
        <v>0</v>
      </c>
    </row>
    <row r="639" spans="6:13" x14ac:dyDescent="0.25">
      <c r="F639" s="93" t="str">
        <f t="shared" si="42"/>
        <v/>
      </c>
      <c r="G639" s="31">
        <f t="shared" si="40"/>
        <v>0</v>
      </c>
      <c r="H639" s="31" t="str">
        <f t="shared" si="43"/>
        <v xml:space="preserve"> </v>
      </c>
      <c r="I639" s="92" t="s">
        <v>387</v>
      </c>
      <c r="J639" s="31">
        <v>92701000</v>
      </c>
      <c r="M639" s="31">
        <f t="shared" si="41"/>
        <v>0</v>
      </c>
    </row>
    <row r="640" spans="6:13" x14ac:dyDescent="0.25">
      <c r="F640" s="93" t="str">
        <f t="shared" si="42"/>
        <v/>
      </c>
      <c r="G640" s="31">
        <f t="shared" si="40"/>
        <v>0</v>
      </c>
      <c r="H640" s="31" t="str">
        <f t="shared" si="43"/>
        <v xml:space="preserve"> </v>
      </c>
      <c r="I640" s="92" t="s">
        <v>387</v>
      </c>
      <c r="J640" s="31">
        <v>92701000</v>
      </c>
      <c r="M640" s="31">
        <f t="shared" si="41"/>
        <v>0</v>
      </c>
    </row>
    <row r="641" spans="6:13" x14ac:dyDescent="0.25">
      <c r="F641" s="93" t="str">
        <f t="shared" si="42"/>
        <v/>
      </c>
      <c r="G641" s="31">
        <f t="shared" si="40"/>
        <v>0</v>
      </c>
      <c r="H641" s="31" t="str">
        <f t="shared" si="43"/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3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3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3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3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3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3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3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3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3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3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3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3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3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3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3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3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3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3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3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3" t="str">
        <f t="shared" si="42"/>
        <v/>
      </c>
      <c r="G661" s="31">
        <f t="shared" ref="G661:G724" si="44">B661</f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3" t="str">
        <f t="shared" si="42"/>
        <v/>
      </c>
      <c r="G662" s="31">
        <f t="shared" si="44"/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3" t="str">
        <f t="shared" si="42"/>
        <v/>
      </c>
      <c r="G663" s="31">
        <f t="shared" si="44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3" t="str">
        <f t="shared" si="42"/>
        <v/>
      </c>
      <c r="G664" s="31">
        <f t="shared" si="44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3" t="str">
        <f t="shared" si="42"/>
        <v/>
      </c>
      <c r="G665" s="31">
        <f t="shared" si="44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3" t="str">
        <f t="shared" si="42"/>
        <v/>
      </c>
      <c r="G666" s="31">
        <f t="shared" si="44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3" t="str">
        <f t="shared" si="42"/>
        <v/>
      </c>
      <c r="G667" s="31">
        <f t="shared" si="44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3" t="str">
        <f t="shared" si="42"/>
        <v/>
      </c>
      <c r="G668" s="31">
        <f t="shared" si="44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3" t="str">
        <f t="shared" si="42"/>
        <v/>
      </c>
      <c r="G669" s="31">
        <f t="shared" si="44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3" t="str">
        <f t="shared" si="42"/>
        <v/>
      </c>
      <c r="G670" s="31">
        <f t="shared" si="44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3" t="str">
        <f t="shared" si="42"/>
        <v/>
      </c>
      <c r="G671" s="31">
        <f t="shared" si="44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3" t="str">
        <f t="shared" si="42"/>
        <v/>
      </c>
      <c r="G672" s="31">
        <f t="shared" si="44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3" t="str">
        <f t="shared" si="42"/>
        <v/>
      </c>
      <c r="G673" s="31">
        <f t="shared" si="44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3" t="str">
        <f t="shared" si="42"/>
        <v/>
      </c>
      <c r="G674" s="31">
        <f t="shared" si="44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3" t="str">
        <f t="shared" si="42"/>
        <v/>
      </c>
      <c r="G675" s="31">
        <f t="shared" si="44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3" t="str">
        <f t="shared" si="42"/>
        <v/>
      </c>
      <c r="G676" s="31">
        <f t="shared" si="44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3" t="str">
        <f t="shared" si="42"/>
        <v/>
      </c>
      <c r="G677" s="31">
        <f t="shared" si="44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3" t="str">
        <f t="shared" si="42"/>
        <v/>
      </c>
      <c r="G678" s="31">
        <f t="shared" si="44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ref="M678:M741" si="45">E678</f>
        <v>0</v>
      </c>
    </row>
    <row r="679" spans="6:13" x14ac:dyDescent="0.25">
      <c r="F679" s="93" t="str">
        <f t="shared" si="42"/>
        <v/>
      </c>
      <c r="G679" s="31">
        <f t="shared" si="44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si="45"/>
        <v>0</v>
      </c>
    </row>
    <row r="680" spans="6:13" x14ac:dyDescent="0.25">
      <c r="F680" s="93" t="str">
        <f t="shared" si="42"/>
        <v/>
      </c>
      <c r="G680" s="31">
        <f t="shared" si="44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5"/>
        <v>0</v>
      </c>
    </row>
    <row r="681" spans="6:13" x14ac:dyDescent="0.25">
      <c r="F681" s="93" t="str">
        <f t="shared" ref="F681:F744" si="46">TRIM(A681)</f>
        <v/>
      </c>
      <c r="G681" s="31">
        <f t="shared" si="44"/>
        <v>0</v>
      </c>
      <c r="H681" s="31" t="str">
        <f t="shared" ref="H681:H744" si="47">CONCATENATE(TRIM(C681)," ",D681)</f>
        <v xml:space="preserve"> </v>
      </c>
      <c r="I681" s="92" t="s">
        <v>387</v>
      </c>
      <c r="J681" s="31">
        <v>92701000</v>
      </c>
      <c r="M681" s="31">
        <f t="shared" si="45"/>
        <v>0</v>
      </c>
    </row>
    <row r="682" spans="6:13" x14ac:dyDescent="0.25">
      <c r="F682" s="93" t="str">
        <f t="shared" si="46"/>
        <v/>
      </c>
      <c r="G682" s="31">
        <f t="shared" si="44"/>
        <v>0</v>
      </c>
      <c r="H682" s="31" t="str">
        <f t="shared" si="47"/>
        <v xml:space="preserve"> </v>
      </c>
      <c r="I682" s="92" t="s">
        <v>387</v>
      </c>
      <c r="J682" s="31">
        <v>92701000</v>
      </c>
      <c r="M682" s="31">
        <f t="shared" si="45"/>
        <v>0</v>
      </c>
    </row>
    <row r="683" spans="6:13" x14ac:dyDescent="0.25">
      <c r="F683" s="93" t="str">
        <f t="shared" si="46"/>
        <v/>
      </c>
      <c r="G683" s="31">
        <f t="shared" si="44"/>
        <v>0</v>
      </c>
      <c r="H683" s="31" t="str">
        <f t="shared" si="47"/>
        <v xml:space="preserve"> </v>
      </c>
      <c r="I683" s="92" t="s">
        <v>387</v>
      </c>
      <c r="J683" s="31">
        <v>92701000</v>
      </c>
      <c r="M683" s="31">
        <f t="shared" si="45"/>
        <v>0</v>
      </c>
    </row>
    <row r="684" spans="6:13" x14ac:dyDescent="0.25">
      <c r="F684" s="93" t="str">
        <f t="shared" si="46"/>
        <v/>
      </c>
      <c r="G684" s="31">
        <f t="shared" si="44"/>
        <v>0</v>
      </c>
      <c r="H684" s="31" t="str">
        <f t="shared" si="47"/>
        <v xml:space="preserve"> </v>
      </c>
      <c r="I684" s="92" t="s">
        <v>387</v>
      </c>
      <c r="J684" s="31">
        <v>92701000</v>
      </c>
      <c r="M684" s="31">
        <f t="shared" si="45"/>
        <v>0</v>
      </c>
    </row>
    <row r="685" spans="6:13" x14ac:dyDescent="0.25">
      <c r="F685" s="93" t="str">
        <f t="shared" si="46"/>
        <v/>
      </c>
      <c r="G685" s="31">
        <f t="shared" si="44"/>
        <v>0</v>
      </c>
      <c r="H685" s="31" t="str">
        <f t="shared" si="47"/>
        <v xml:space="preserve"> </v>
      </c>
      <c r="I685" s="92" t="s">
        <v>387</v>
      </c>
      <c r="J685" s="31">
        <v>92701000</v>
      </c>
      <c r="M685" s="31">
        <f t="shared" si="45"/>
        <v>0</v>
      </c>
    </row>
    <row r="686" spans="6:13" x14ac:dyDescent="0.25">
      <c r="F686" s="93" t="str">
        <f t="shared" si="46"/>
        <v/>
      </c>
      <c r="G686" s="31">
        <f t="shared" si="44"/>
        <v>0</v>
      </c>
      <c r="H686" s="31" t="str">
        <f t="shared" si="47"/>
        <v xml:space="preserve"> </v>
      </c>
      <c r="I686" s="92" t="s">
        <v>387</v>
      </c>
      <c r="J686" s="31">
        <v>92701000</v>
      </c>
      <c r="M686" s="31">
        <f t="shared" si="45"/>
        <v>0</v>
      </c>
    </row>
    <row r="687" spans="6:13" x14ac:dyDescent="0.25">
      <c r="F687" s="93" t="str">
        <f t="shared" si="46"/>
        <v/>
      </c>
      <c r="G687" s="31">
        <f t="shared" si="44"/>
        <v>0</v>
      </c>
      <c r="H687" s="31" t="str">
        <f t="shared" si="47"/>
        <v xml:space="preserve"> </v>
      </c>
      <c r="I687" s="92" t="s">
        <v>387</v>
      </c>
      <c r="J687" s="31">
        <v>92701000</v>
      </c>
      <c r="M687" s="31">
        <f t="shared" si="45"/>
        <v>0</v>
      </c>
    </row>
    <row r="688" spans="6:13" x14ac:dyDescent="0.25">
      <c r="F688" s="93" t="str">
        <f t="shared" si="46"/>
        <v/>
      </c>
      <c r="G688" s="31">
        <f t="shared" si="44"/>
        <v>0</v>
      </c>
      <c r="H688" s="31" t="str">
        <f t="shared" si="47"/>
        <v xml:space="preserve"> </v>
      </c>
      <c r="I688" s="92" t="s">
        <v>387</v>
      </c>
      <c r="J688" s="31">
        <v>92701000</v>
      </c>
      <c r="M688" s="31">
        <f t="shared" si="45"/>
        <v>0</v>
      </c>
    </row>
    <row r="689" spans="6:13" x14ac:dyDescent="0.25">
      <c r="F689" s="93" t="str">
        <f t="shared" si="46"/>
        <v/>
      </c>
      <c r="G689" s="31">
        <f t="shared" si="44"/>
        <v>0</v>
      </c>
      <c r="H689" s="31" t="str">
        <f t="shared" si="47"/>
        <v xml:space="preserve"> </v>
      </c>
      <c r="I689" s="92" t="s">
        <v>387</v>
      </c>
      <c r="J689" s="31">
        <v>92701000</v>
      </c>
      <c r="M689" s="31">
        <f t="shared" si="45"/>
        <v>0</v>
      </c>
    </row>
    <row r="690" spans="6:13" x14ac:dyDescent="0.25">
      <c r="F690" s="93" t="str">
        <f t="shared" si="46"/>
        <v/>
      </c>
      <c r="G690" s="31">
        <f t="shared" si="44"/>
        <v>0</v>
      </c>
      <c r="H690" s="31" t="str">
        <f t="shared" si="47"/>
        <v xml:space="preserve"> </v>
      </c>
      <c r="I690" s="92" t="s">
        <v>387</v>
      </c>
      <c r="J690" s="31">
        <v>92701000</v>
      </c>
      <c r="M690" s="31">
        <f t="shared" si="45"/>
        <v>0</v>
      </c>
    </row>
    <row r="691" spans="6:13" x14ac:dyDescent="0.25">
      <c r="F691" s="93" t="str">
        <f t="shared" si="46"/>
        <v/>
      </c>
      <c r="G691" s="31">
        <f t="shared" si="44"/>
        <v>0</v>
      </c>
      <c r="H691" s="31" t="str">
        <f t="shared" si="47"/>
        <v xml:space="preserve"> </v>
      </c>
      <c r="I691" s="92" t="s">
        <v>387</v>
      </c>
      <c r="J691" s="31">
        <v>92701000</v>
      </c>
      <c r="M691" s="31">
        <f t="shared" si="45"/>
        <v>0</v>
      </c>
    </row>
    <row r="692" spans="6:13" x14ac:dyDescent="0.25">
      <c r="F692" s="93" t="str">
        <f t="shared" si="46"/>
        <v/>
      </c>
      <c r="G692" s="31">
        <f t="shared" si="44"/>
        <v>0</v>
      </c>
      <c r="H692" s="31" t="str">
        <f t="shared" si="47"/>
        <v xml:space="preserve"> </v>
      </c>
      <c r="I692" s="92" t="s">
        <v>387</v>
      </c>
      <c r="J692" s="31">
        <v>92701000</v>
      </c>
      <c r="M692" s="31">
        <f t="shared" si="45"/>
        <v>0</v>
      </c>
    </row>
    <row r="693" spans="6:13" x14ac:dyDescent="0.25">
      <c r="F693" s="93" t="str">
        <f t="shared" si="46"/>
        <v/>
      </c>
      <c r="G693" s="31">
        <f t="shared" si="44"/>
        <v>0</v>
      </c>
      <c r="H693" s="31" t="str">
        <f t="shared" si="47"/>
        <v xml:space="preserve"> </v>
      </c>
      <c r="I693" s="92" t="s">
        <v>387</v>
      </c>
      <c r="J693" s="31">
        <v>92701000</v>
      </c>
      <c r="M693" s="31">
        <f t="shared" si="45"/>
        <v>0</v>
      </c>
    </row>
    <row r="694" spans="6:13" x14ac:dyDescent="0.25">
      <c r="F694" s="93" t="str">
        <f t="shared" si="46"/>
        <v/>
      </c>
      <c r="G694" s="31">
        <f t="shared" si="44"/>
        <v>0</v>
      </c>
      <c r="H694" s="31" t="str">
        <f t="shared" si="47"/>
        <v xml:space="preserve"> </v>
      </c>
      <c r="I694" s="92" t="s">
        <v>387</v>
      </c>
      <c r="J694" s="31">
        <v>92701000</v>
      </c>
      <c r="M694" s="31">
        <f t="shared" si="45"/>
        <v>0</v>
      </c>
    </row>
    <row r="695" spans="6:13" x14ac:dyDescent="0.25">
      <c r="F695" s="93" t="str">
        <f t="shared" si="46"/>
        <v/>
      </c>
      <c r="G695" s="31">
        <f t="shared" si="44"/>
        <v>0</v>
      </c>
      <c r="H695" s="31" t="str">
        <f t="shared" si="47"/>
        <v xml:space="preserve"> </v>
      </c>
      <c r="I695" s="92" t="s">
        <v>387</v>
      </c>
      <c r="J695" s="31">
        <v>92701000</v>
      </c>
      <c r="M695" s="31">
        <f t="shared" si="45"/>
        <v>0</v>
      </c>
    </row>
    <row r="696" spans="6:13" x14ac:dyDescent="0.25">
      <c r="F696" s="93" t="str">
        <f t="shared" si="46"/>
        <v/>
      </c>
      <c r="G696" s="31">
        <f t="shared" si="44"/>
        <v>0</v>
      </c>
      <c r="H696" s="31" t="str">
        <f t="shared" si="47"/>
        <v xml:space="preserve"> </v>
      </c>
      <c r="I696" s="92" t="s">
        <v>387</v>
      </c>
      <c r="J696" s="31">
        <v>92701000</v>
      </c>
      <c r="M696" s="31">
        <f t="shared" si="45"/>
        <v>0</v>
      </c>
    </row>
    <row r="697" spans="6:13" x14ac:dyDescent="0.25">
      <c r="F697" s="93" t="str">
        <f t="shared" si="46"/>
        <v/>
      </c>
      <c r="G697" s="31">
        <f t="shared" si="44"/>
        <v>0</v>
      </c>
      <c r="H697" s="31" t="str">
        <f t="shared" si="47"/>
        <v xml:space="preserve"> </v>
      </c>
      <c r="I697" s="92" t="s">
        <v>387</v>
      </c>
      <c r="J697" s="31">
        <v>92701000</v>
      </c>
      <c r="M697" s="31">
        <f t="shared" si="45"/>
        <v>0</v>
      </c>
    </row>
    <row r="698" spans="6:13" x14ac:dyDescent="0.25">
      <c r="F698" s="93" t="str">
        <f t="shared" si="46"/>
        <v/>
      </c>
      <c r="G698" s="31">
        <f t="shared" si="44"/>
        <v>0</v>
      </c>
      <c r="H698" s="31" t="str">
        <f t="shared" si="47"/>
        <v xml:space="preserve"> </v>
      </c>
      <c r="I698" s="92" t="s">
        <v>387</v>
      </c>
      <c r="J698" s="31">
        <v>92701000</v>
      </c>
      <c r="M698" s="31">
        <f t="shared" si="45"/>
        <v>0</v>
      </c>
    </row>
    <row r="699" spans="6:13" x14ac:dyDescent="0.25">
      <c r="F699" s="93" t="str">
        <f t="shared" si="46"/>
        <v/>
      </c>
      <c r="G699" s="31">
        <f t="shared" si="44"/>
        <v>0</v>
      </c>
      <c r="H699" s="31" t="str">
        <f t="shared" si="47"/>
        <v xml:space="preserve"> </v>
      </c>
      <c r="I699" s="92" t="s">
        <v>387</v>
      </c>
      <c r="J699" s="31">
        <v>92701000</v>
      </c>
      <c r="M699" s="31">
        <f t="shared" si="45"/>
        <v>0</v>
      </c>
    </row>
    <row r="700" spans="6:13" x14ac:dyDescent="0.25">
      <c r="F700" s="93" t="str">
        <f t="shared" si="46"/>
        <v/>
      </c>
      <c r="G700" s="31">
        <f t="shared" si="44"/>
        <v>0</v>
      </c>
      <c r="H700" s="31" t="str">
        <f t="shared" si="47"/>
        <v xml:space="preserve"> </v>
      </c>
      <c r="I700" s="92" t="s">
        <v>387</v>
      </c>
      <c r="J700" s="31">
        <v>92701000</v>
      </c>
      <c r="M700" s="31">
        <f t="shared" si="45"/>
        <v>0</v>
      </c>
    </row>
    <row r="701" spans="6:13" x14ac:dyDescent="0.25">
      <c r="F701" s="93" t="str">
        <f t="shared" si="46"/>
        <v/>
      </c>
      <c r="G701" s="31">
        <f t="shared" si="44"/>
        <v>0</v>
      </c>
      <c r="H701" s="31" t="str">
        <f t="shared" si="47"/>
        <v xml:space="preserve"> </v>
      </c>
      <c r="I701" s="92" t="s">
        <v>387</v>
      </c>
      <c r="J701" s="31">
        <v>92701000</v>
      </c>
      <c r="M701" s="31">
        <f t="shared" si="45"/>
        <v>0</v>
      </c>
    </row>
    <row r="702" spans="6:13" x14ac:dyDescent="0.25">
      <c r="F702" s="93" t="str">
        <f t="shared" si="46"/>
        <v/>
      </c>
      <c r="G702" s="31">
        <f t="shared" si="44"/>
        <v>0</v>
      </c>
      <c r="H702" s="31" t="str">
        <f t="shared" si="47"/>
        <v xml:space="preserve"> </v>
      </c>
      <c r="I702" s="92" t="s">
        <v>387</v>
      </c>
      <c r="J702" s="31">
        <v>92701000</v>
      </c>
      <c r="M702" s="31">
        <f t="shared" si="45"/>
        <v>0</v>
      </c>
    </row>
    <row r="703" spans="6:13" x14ac:dyDescent="0.25">
      <c r="F703" s="93" t="str">
        <f t="shared" si="46"/>
        <v/>
      </c>
      <c r="G703" s="31">
        <f t="shared" si="44"/>
        <v>0</v>
      </c>
      <c r="H703" s="31" t="str">
        <f t="shared" si="47"/>
        <v xml:space="preserve"> </v>
      </c>
      <c r="I703" s="92" t="s">
        <v>387</v>
      </c>
      <c r="J703" s="31">
        <v>92701000</v>
      </c>
      <c r="M703" s="31">
        <f t="shared" si="45"/>
        <v>0</v>
      </c>
    </row>
    <row r="704" spans="6:13" x14ac:dyDescent="0.25">
      <c r="F704" s="93" t="str">
        <f t="shared" si="46"/>
        <v/>
      </c>
      <c r="G704" s="31">
        <f t="shared" si="44"/>
        <v>0</v>
      </c>
      <c r="H704" s="31" t="str">
        <f t="shared" si="47"/>
        <v xml:space="preserve"> </v>
      </c>
      <c r="I704" s="92" t="s">
        <v>387</v>
      </c>
      <c r="J704" s="31">
        <v>92701000</v>
      </c>
      <c r="M704" s="31">
        <f t="shared" si="45"/>
        <v>0</v>
      </c>
    </row>
    <row r="705" spans="6:13" x14ac:dyDescent="0.25">
      <c r="F705" s="93" t="str">
        <f t="shared" si="46"/>
        <v/>
      </c>
      <c r="G705" s="31">
        <f t="shared" si="44"/>
        <v>0</v>
      </c>
      <c r="H705" s="31" t="str">
        <f t="shared" si="47"/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3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3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3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3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3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3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3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3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3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3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3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3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3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3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3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3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3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3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3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3" t="str">
        <f t="shared" si="46"/>
        <v/>
      </c>
      <c r="G725" s="31">
        <f t="shared" ref="G725:G788" si="48">B725</f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3" t="str">
        <f t="shared" si="46"/>
        <v/>
      </c>
      <c r="G726" s="31">
        <f t="shared" si="48"/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3" t="str">
        <f t="shared" si="46"/>
        <v/>
      </c>
      <c r="G727" s="31">
        <f t="shared" si="48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3" t="str">
        <f t="shared" si="46"/>
        <v/>
      </c>
      <c r="G728" s="31">
        <f t="shared" si="48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3" t="str">
        <f t="shared" si="46"/>
        <v/>
      </c>
      <c r="G729" s="31">
        <f t="shared" si="48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3" t="str">
        <f t="shared" si="46"/>
        <v/>
      </c>
      <c r="G730" s="31">
        <f t="shared" si="48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3" t="str">
        <f t="shared" si="46"/>
        <v/>
      </c>
      <c r="G731" s="31">
        <f t="shared" si="48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3" t="str">
        <f t="shared" si="46"/>
        <v/>
      </c>
      <c r="G732" s="31">
        <f t="shared" si="48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3" t="str">
        <f t="shared" si="46"/>
        <v/>
      </c>
      <c r="G733" s="31">
        <f t="shared" si="48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3" t="str">
        <f t="shared" si="46"/>
        <v/>
      </c>
      <c r="G734" s="31">
        <f t="shared" si="48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3" t="str">
        <f t="shared" si="46"/>
        <v/>
      </c>
      <c r="G735" s="31">
        <f t="shared" si="48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3" t="str">
        <f t="shared" si="46"/>
        <v/>
      </c>
      <c r="G736" s="31">
        <f t="shared" si="48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3" t="str">
        <f t="shared" si="46"/>
        <v/>
      </c>
      <c r="G737" s="31">
        <f t="shared" si="48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3" t="str">
        <f t="shared" si="46"/>
        <v/>
      </c>
      <c r="G738" s="31">
        <f t="shared" si="48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3" t="str">
        <f t="shared" si="46"/>
        <v/>
      </c>
      <c r="G739" s="31">
        <f t="shared" si="48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3" t="str">
        <f t="shared" si="46"/>
        <v/>
      </c>
      <c r="G740" s="31">
        <f t="shared" si="48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3" t="str">
        <f t="shared" si="46"/>
        <v/>
      </c>
      <c r="G741" s="31">
        <f t="shared" si="48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3" t="str">
        <f t="shared" si="46"/>
        <v/>
      </c>
      <c r="G742" s="31">
        <f t="shared" si="48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ref="M742:M805" si="49">E742</f>
        <v>0</v>
      </c>
    </row>
    <row r="743" spans="6:13" x14ac:dyDescent="0.25">
      <c r="F743" s="93" t="str">
        <f t="shared" si="46"/>
        <v/>
      </c>
      <c r="G743" s="31">
        <f t="shared" si="48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si="49"/>
        <v>0</v>
      </c>
    </row>
    <row r="744" spans="6:13" x14ac:dyDescent="0.25">
      <c r="F744" s="93" t="str">
        <f t="shared" si="46"/>
        <v/>
      </c>
      <c r="G744" s="31">
        <f t="shared" si="48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9"/>
        <v>0</v>
      </c>
    </row>
    <row r="745" spans="6:13" x14ac:dyDescent="0.25">
      <c r="F745" s="93" t="str">
        <f t="shared" ref="F745:F808" si="50">TRIM(A745)</f>
        <v/>
      </c>
      <c r="G745" s="31">
        <f t="shared" si="48"/>
        <v>0</v>
      </c>
      <c r="H745" s="31" t="str">
        <f t="shared" ref="H745:H808" si="51">CONCATENATE(TRIM(C745)," ",D745)</f>
        <v xml:space="preserve"> </v>
      </c>
      <c r="I745" s="92" t="s">
        <v>387</v>
      </c>
      <c r="J745" s="31">
        <v>92701000</v>
      </c>
      <c r="M745" s="31">
        <f t="shared" si="49"/>
        <v>0</v>
      </c>
    </row>
    <row r="746" spans="6:13" x14ac:dyDescent="0.25">
      <c r="F746" s="93" t="str">
        <f t="shared" si="50"/>
        <v/>
      </c>
      <c r="G746" s="31">
        <f t="shared" si="48"/>
        <v>0</v>
      </c>
      <c r="H746" s="31" t="str">
        <f t="shared" si="51"/>
        <v xml:space="preserve"> </v>
      </c>
      <c r="I746" s="92" t="s">
        <v>387</v>
      </c>
      <c r="J746" s="31">
        <v>92701000</v>
      </c>
      <c r="M746" s="31">
        <f t="shared" si="49"/>
        <v>0</v>
      </c>
    </row>
    <row r="747" spans="6:13" x14ac:dyDescent="0.25">
      <c r="F747" s="93" t="str">
        <f t="shared" si="50"/>
        <v/>
      </c>
      <c r="G747" s="31">
        <f t="shared" si="48"/>
        <v>0</v>
      </c>
      <c r="H747" s="31" t="str">
        <f t="shared" si="51"/>
        <v xml:space="preserve"> </v>
      </c>
      <c r="I747" s="92" t="s">
        <v>387</v>
      </c>
      <c r="J747" s="31">
        <v>92701000</v>
      </c>
      <c r="M747" s="31">
        <f t="shared" si="49"/>
        <v>0</v>
      </c>
    </row>
    <row r="748" spans="6:13" x14ac:dyDescent="0.25">
      <c r="F748" s="93" t="str">
        <f t="shared" si="50"/>
        <v/>
      </c>
      <c r="G748" s="31">
        <f t="shared" si="48"/>
        <v>0</v>
      </c>
      <c r="H748" s="31" t="str">
        <f t="shared" si="51"/>
        <v xml:space="preserve"> </v>
      </c>
      <c r="I748" s="92" t="s">
        <v>387</v>
      </c>
      <c r="J748" s="31">
        <v>92701000</v>
      </c>
      <c r="M748" s="31">
        <f t="shared" si="49"/>
        <v>0</v>
      </c>
    </row>
    <row r="749" spans="6:13" x14ac:dyDescent="0.25">
      <c r="F749" s="93" t="str">
        <f t="shared" si="50"/>
        <v/>
      </c>
      <c r="G749" s="31">
        <f t="shared" si="48"/>
        <v>0</v>
      </c>
      <c r="H749" s="31" t="str">
        <f t="shared" si="51"/>
        <v xml:space="preserve"> </v>
      </c>
      <c r="I749" s="92" t="s">
        <v>387</v>
      </c>
      <c r="J749" s="31">
        <v>92701000</v>
      </c>
      <c r="M749" s="31">
        <f t="shared" si="49"/>
        <v>0</v>
      </c>
    </row>
    <row r="750" spans="6:13" x14ac:dyDescent="0.25">
      <c r="F750" s="93" t="str">
        <f t="shared" si="50"/>
        <v/>
      </c>
      <c r="G750" s="31">
        <f t="shared" si="48"/>
        <v>0</v>
      </c>
      <c r="H750" s="31" t="str">
        <f t="shared" si="51"/>
        <v xml:space="preserve"> </v>
      </c>
      <c r="I750" s="92" t="s">
        <v>387</v>
      </c>
      <c r="J750" s="31">
        <v>92701000</v>
      </c>
      <c r="M750" s="31">
        <f t="shared" si="49"/>
        <v>0</v>
      </c>
    </row>
    <row r="751" spans="6:13" x14ac:dyDescent="0.25">
      <c r="F751" s="93" t="str">
        <f t="shared" si="50"/>
        <v/>
      </c>
      <c r="G751" s="31">
        <f t="shared" si="48"/>
        <v>0</v>
      </c>
      <c r="H751" s="31" t="str">
        <f t="shared" si="51"/>
        <v xml:space="preserve"> </v>
      </c>
      <c r="I751" s="92" t="s">
        <v>387</v>
      </c>
      <c r="J751" s="31">
        <v>92701000</v>
      </c>
      <c r="M751" s="31">
        <f t="shared" si="49"/>
        <v>0</v>
      </c>
    </row>
    <row r="752" spans="6:13" x14ac:dyDescent="0.25">
      <c r="F752" s="93" t="str">
        <f t="shared" si="50"/>
        <v/>
      </c>
      <c r="G752" s="31">
        <f t="shared" si="48"/>
        <v>0</v>
      </c>
      <c r="H752" s="31" t="str">
        <f t="shared" si="51"/>
        <v xml:space="preserve"> </v>
      </c>
      <c r="I752" s="92" t="s">
        <v>387</v>
      </c>
      <c r="J752" s="31">
        <v>92701000</v>
      </c>
      <c r="M752" s="31">
        <f t="shared" si="49"/>
        <v>0</v>
      </c>
    </row>
    <row r="753" spans="6:13" x14ac:dyDescent="0.25">
      <c r="F753" s="93" t="str">
        <f t="shared" si="50"/>
        <v/>
      </c>
      <c r="G753" s="31">
        <f t="shared" si="48"/>
        <v>0</v>
      </c>
      <c r="H753" s="31" t="str">
        <f t="shared" si="51"/>
        <v xml:space="preserve"> </v>
      </c>
      <c r="I753" s="92" t="s">
        <v>387</v>
      </c>
      <c r="J753" s="31">
        <v>92701000</v>
      </c>
      <c r="M753" s="31">
        <f t="shared" si="49"/>
        <v>0</v>
      </c>
    </row>
    <row r="754" spans="6:13" x14ac:dyDescent="0.25">
      <c r="F754" s="93" t="str">
        <f t="shared" si="50"/>
        <v/>
      </c>
      <c r="G754" s="31">
        <f t="shared" si="48"/>
        <v>0</v>
      </c>
      <c r="H754" s="31" t="str">
        <f t="shared" si="51"/>
        <v xml:space="preserve"> </v>
      </c>
      <c r="I754" s="92" t="s">
        <v>387</v>
      </c>
      <c r="J754" s="31">
        <v>92701000</v>
      </c>
      <c r="M754" s="31">
        <f t="shared" si="49"/>
        <v>0</v>
      </c>
    </row>
    <row r="755" spans="6:13" x14ac:dyDescent="0.25">
      <c r="F755" s="93" t="str">
        <f t="shared" si="50"/>
        <v/>
      </c>
      <c r="G755" s="31">
        <f t="shared" si="48"/>
        <v>0</v>
      </c>
      <c r="H755" s="31" t="str">
        <f t="shared" si="51"/>
        <v xml:space="preserve"> </v>
      </c>
      <c r="I755" s="92" t="s">
        <v>387</v>
      </c>
      <c r="J755" s="31">
        <v>92701000</v>
      </c>
      <c r="M755" s="31">
        <f t="shared" si="49"/>
        <v>0</v>
      </c>
    </row>
    <row r="756" spans="6:13" x14ac:dyDescent="0.25">
      <c r="F756" s="93" t="str">
        <f t="shared" si="50"/>
        <v/>
      </c>
      <c r="G756" s="31">
        <f t="shared" si="48"/>
        <v>0</v>
      </c>
      <c r="H756" s="31" t="str">
        <f t="shared" si="51"/>
        <v xml:space="preserve"> </v>
      </c>
      <c r="I756" s="92" t="s">
        <v>387</v>
      </c>
      <c r="J756" s="31">
        <v>92701000</v>
      </c>
      <c r="M756" s="31">
        <f t="shared" si="49"/>
        <v>0</v>
      </c>
    </row>
    <row r="757" spans="6:13" x14ac:dyDescent="0.25">
      <c r="F757" s="93" t="str">
        <f t="shared" si="50"/>
        <v/>
      </c>
      <c r="G757" s="31">
        <f t="shared" si="48"/>
        <v>0</v>
      </c>
      <c r="H757" s="31" t="str">
        <f t="shared" si="51"/>
        <v xml:space="preserve"> </v>
      </c>
      <c r="I757" s="92" t="s">
        <v>387</v>
      </c>
      <c r="J757" s="31">
        <v>92701000</v>
      </c>
      <c r="M757" s="31">
        <f t="shared" si="49"/>
        <v>0</v>
      </c>
    </row>
    <row r="758" spans="6:13" x14ac:dyDescent="0.25">
      <c r="F758" s="93" t="str">
        <f t="shared" si="50"/>
        <v/>
      </c>
      <c r="G758" s="31">
        <f t="shared" si="48"/>
        <v>0</v>
      </c>
      <c r="H758" s="31" t="str">
        <f t="shared" si="51"/>
        <v xml:space="preserve"> </v>
      </c>
      <c r="I758" s="92" t="s">
        <v>387</v>
      </c>
      <c r="J758" s="31">
        <v>92701000</v>
      </c>
      <c r="M758" s="31">
        <f t="shared" si="49"/>
        <v>0</v>
      </c>
    </row>
    <row r="759" spans="6:13" x14ac:dyDescent="0.25">
      <c r="F759" s="93" t="str">
        <f t="shared" si="50"/>
        <v/>
      </c>
      <c r="G759" s="31">
        <f t="shared" si="48"/>
        <v>0</v>
      </c>
      <c r="H759" s="31" t="str">
        <f t="shared" si="51"/>
        <v xml:space="preserve"> </v>
      </c>
      <c r="I759" s="92" t="s">
        <v>387</v>
      </c>
      <c r="J759" s="31">
        <v>92701000</v>
      </c>
      <c r="M759" s="31">
        <f t="shared" si="49"/>
        <v>0</v>
      </c>
    </row>
    <row r="760" spans="6:13" x14ac:dyDescent="0.25">
      <c r="F760" s="93" t="str">
        <f t="shared" si="50"/>
        <v/>
      </c>
      <c r="G760" s="31">
        <f t="shared" si="48"/>
        <v>0</v>
      </c>
      <c r="H760" s="31" t="str">
        <f t="shared" si="51"/>
        <v xml:space="preserve"> </v>
      </c>
      <c r="I760" s="92" t="s">
        <v>387</v>
      </c>
      <c r="J760" s="31">
        <v>92701000</v>
      </c>
      <c r="M760" s="31">
        <f t="shared" si="49"/>
        <v>0</v>
      </c>
    </row>
    <row r="761" spans="6:13" x14ac:dyDescent="0.25">
      <c r="F761" s="93" t="str">
        <f t="shared" si="50"/>
        <v/>
      </c>
      <c r="G761" s="31">
        <f t="shared" si="48"/>
        <v>0</v>
      </c>
      <c r="H761" s="31" t="str">
        <f t="shared" si="51"/>
        <v xml:space="preserve"> </v>
      </c>
      <c r="I761" s="92" t="s">
        <v>387</v>
      </c>
      <c r="J761" s="31">
        <v>92701000</v>
      </c>
      <c r="M761" s="31">
        <f t="shared" si="49"/>
        <v>0</v>
      </c>
    </row>
    <row r="762" spans="6:13" x14ac:dyDescent="0.25">
      <c r="F762" s="93" t="str">
        <f t="shared" si="50"/>
        <v/>
      </c>
      <c r="G762" s="31">
        <f t="shared" si="48"/>
        <v>0</v>
      </c>
      <c r="H762" s="31" t="str">
        <f t="shared" si="51"/>
        <v xml:space="preserve"> </v>
      </c>
      <c r="I762" s="92" t="s">
        <v>387</v>
      </c>
      <c r="J762" s="31">
        <v>92701000</v>
      </c>
      <c r="M762" s="31">
        <f t="shared" si="49"/>
        <v>0</v>
      </c>
    </row>
    <row r="763" spans="6:13" x14ac:dyDescent="0.25">
      <c r="F763" s="93" t="str">
        <f t="shared" si="50"/>
        <v/>
      </c>
      <c r="G763" s="31">
        <f t="shared" si="48"/>
        <v>0</v>
      </c>
      <c r="H763" s="31" t="str">
        <f t="shared" si="51"/>
        <v xml:space="preserve"> </v>
      </c>
      <c r="I763" s="92" t="s">
        <v>387</v>
      </c>
      <c r="J763" s="31">
        <v>92701000</v>
      </c>
      <c r="M763" s="31">
        <f t="shared" si="49"/>
        <v>0</v>
      </c>
    </row>
    <row r="764" spans="6:13" x14ac:dyDescent="0.25">
      <c r="F764" s="93" t="str">
        <f t="shared" si="50"/>
        <v/>
      </c>
      <c r="G764" s="31">
        <f t="shared" si="48"/>
        <v>0</v>
      </c>
      <c r="H764" s="31" t="str">
        <f t="shared" si="51"/>
        <v xml:space="preserve"> </v>
      </c>
      <c r="I764" s="92" t="s">
        <v>387</v>
      </c>
      <c r="J764" s="31">
        <v>92701000</v>
      </c>
      <c r="M764" s="31">
        <f t="shared" si="49"/>
        <v>0</v>
      </c>
    </row>
    <row r="765" spans="6:13" x14ac:dyDescent="0.25">
      <c r="F765" s="93" t="str">
        <f t="shared" si="50"/>
        <v/>
      </c>
      <c r="G765" s="31">
        <f t="shared" si="48"/>
        <v>0</v>
      </c>
      <c r="H765" s="31" t="str">
        <f t="shared" si="51"/>
        <v xml:space="preserve"> </v>
      </c>
      <c r="I765" s="92" t="s">
        <v>387</v>
      </c>
      <c r="J765" s="31">
        <v>92701000</v>
      </c>
      <c r="M765" s="31">
        <f t="shared" si="49"/>
        <v>0</v>
      </c>
    </row>
    <row r="766" spans="6:13" x14ac:dyDescent="0.25">
      <c r="F766" s="93" t="str">
        <f t="shared" si="50"/>
        <v/>
      </c>
      <c r="G766" s="31">
        <f t="shared" si="48"/>
        <v>0</v>
      </c>
      <c r="H766" s="31" t="str">
        <f t="shared" si="51"/>
        <v xml:space="preserve"> </v>
      </c>
      <c r="I766" s="92" t="s">
        <v>387</v>
      </c>
      <c r="J766" s="31">
        <v>92701000</v>
      </c>
      <c r="M766" s="31">
        <f t="shared" si="49"/>
        <v>0</v>
      </c>
    </row>
    <row r="767" spans="6:13" x14ac:dyDescent="0.25">
      <c r="F767" s="93" t="str">
        <f t="shared" si="50"/>
        <v/>
      </c>
      <c r="G767" s="31">
        <f t="shared" si="48"/>
        <v>0</v>
      </c>
      <c r="H767" s="31" t="str">
        <f t="shared" si="51"/>
        <v xml:space="preserve"> </v>
      </c>
      <c r="I767" s="92" t="s">
        <v>387</v>
      </c>
      <c r="J767" s="31">
        <v>92701000</v>
      </c>
      <c r="M767" s="31">
        <f t="shared" si="49"/>
        <v>0</v>
      </c>
    </row>
    <row r="768" spans="6:13" x14ac:dyDescent="0.25">
      <c r="F768" s="93" t="str">
        <f t="shared" si="50"/>
        <v/>
      </c>
      <c r="G768" s="31">
        <f t="shared" si="48"/>
        <v>0</v>
      </c>
      <c r="H768" s="31" t="str">
        <f t="shared" si="51"/>
        <v xml:space="preserve"> </v>
      </c>
      <c r="I768" s="92" t="s">
        <v>387</v>
      </c>
      <c r="J768" s="31">
        <v>92701000</v>
      </c>
      <c r="M768" s="31">
        <f t="shared" si="49"/>
        <v>0</v>
      </c>
    </row>
    <row r="769" spans="6:13" x14ac:dyDescent="0.25">
      <c r="F769" s="93" t="str">
        <f t="shared" si="50"/>
        <v/>
      </c>
      <c r="G769" s="31">
        <f t="shared" si="48"/>
        <v>0</v>
      </c>
      <c r="H769" s="31" t="str">
        <f t="shared" si="51"/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3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3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3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3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3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3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3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3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3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3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3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3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3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3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3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3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3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3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3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3" t="str">
        <f t="shared" si="50"/>
        <v/>
      </c>
      <c r="G789" s="31">
        <f t="shared" ref="G789:G852" si="52">B789</f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3" t="str">
        <f t="shared" si="50"/>
        <v/>
      </c>
      <c r="G790" s="31">
        <f t="shared" si="52"/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3" t="str">
        <f t="shared" si="50"/>
        <v/>
      </c>
      <c r="G791" s="31">
        <f t="shared" si="52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3" t="str">
        <f t="shared" si="50"/>
        <v/>
      </c>
      <c r="G792" s="31">
        <f t="shared" si="52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3" t="str">
        <f t="shared" si="50"/>
        <v/>
      </c>
      <c r="G793" s="31">
        <f t="shared" si="52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3" t="str">
        <f t="shared" si="50"/>
        <v/>
      </c>
      <c r="G794" s="31">
        <f t="shared" si="52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3" t="str">
        <f t="shared" si="50"/>
        <v/>
      </c>
      <c r="G795" s="31">
        <f t="shared" si="52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3" t="str">
        <f t="shared" si="50"/>
        <v/>
      </c>
      <c r="G796" s="31">
        <f t="shared" si="52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3" t="str">
        <f t="shared" si="50"/>
        <v/>
      </c>
      <c r="G797" s="31">
        <f t="shared" si="52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3" t="str">
        <f t="shared" si="50"/>
        <v/>
      </c>
      <c r="G798" s="31">
        <f t="shared" si="52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3" t="str">
        <f t="shared" si="50"/>
        <v/>
      </c>
      <c r="G799" s="31">
        <f t="shared" si="52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3" t="str">
        <f t="shared" si="50"/>
        <v/>
      </c>
      <c r="G800" s="31">
        <f t="shared" si="52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3" t="str">
        <f t="shared" si="50"/>
        <v/>
      </c>
      <c r="G801" s="31">
        <f t="shared" si="52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3" t="str">
        <f t="shared" si="50"/>
        <v/>
      </c>
      <c r="G802" s="31">
        <f t="shared" si="52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3" t="str">
        <f t="shared" si="50"/>
        <v/>
      </c>
      <c r="G803" s="31">
        <f t="shared" si="52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3" t="str">
        <f t="shared" si="50"/>
        <v/>
      </c>
      <c r="G804" s="31">
        <f t="shared" si="52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3" t="str">
        <f t="shared" si="50"/>
        <v/>
      </c>
      <c r="G805" s="31">
        <f t="shared" si="52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3" t="str">
        <f t="shared" si="50"/>
        <v/>
      </c>
      <c r="G806" s="31">
        <f t="shared" si="52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ref="M806:M869" si="53">E806</f>
        <v>0</v>
      </c>
    </row>
    <row r="807" spans="6:13" x14ac:dyDescent="0.25">
      <c r="F807" s="93" t="str">
        <f t="shared" si="50"/>
        <v/>
      </c>
      <c r="G807" s="31">
        <f t="shared" si="52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si="53"/>
        <v>0</v>
      </c>
    </row>
    <row r="808" spans="6:13" x14ac:dyDescent="0.25">
      <c r="F808" s="93" t="str">
        <f t="shared" si="50"/>
        <v/>
      </c>
      <c r="G808" s="31">
        <f t="shared" si="52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53"/>
        <v>0</v>
      </c>
    </row>
    <row r="809" spans="6:13" x14ac:dyDescent="0.25">
      <c r="F809" s="93" t="str">
        <f t="shared" ref="F809:F872" si="54">TRIM(A809)</f>
        <v/>
      </c>
      <c r="G809" s="31">
        <f t="shared" si="52"/>
        <v>0</v>
      </c>
      <c r="H809" s="31" t="str">
        <f t="shared" ref="H809:H872" si="55">CONCATENATE(TRIM(C809)," ",D809)</f>
        <v xml:space="preserve"> </v>
      </c>
      <c r="I809" s="92" t="s">
        <v>387</v>
      </c>
      <c r="J809" s="31">
        <v>92701000</v>
      </c>
      <c r="M809" s="31">
        <f t="shared" si="53"/>
        <v>0</v>
      </c>
    </row>
    <row r="810" spans="6:13" x14ac:dyDescent="0.25">
      <c r="F810" s="93" t="str">
        <f t="shared" si="54"/>
        <v/>
      </c>
      <c r="G810" s="31">
        <f t="shared" si="52"/>
        <v>0</v>
      </c>
      <c r="H810" s="31" t="str">
        <f t="shared" si="55"/>
        <v xml:space="preserve"> </v>
      </c>
      <c r="I810" s="92" t="s">
        <v>387</v>
      </c>
      <c r="J810" s="31">
        <v>92701000</v>
      </c>
      <c r="M810" s="31">
        <f t="shared" si="53"/>
        <v>0</v>
      </c>
    </row>
    <row r="811" spans="6:13" x14ac:dyDescent="0.25">
      <c r="F811" s="93" t="str">
        <f t="shared" si="54"/>
        <v/>
      </c>
      <c r="G811" s="31">
        <f t="shared" si="52"/>
        <v>0</v>
      </c>
      <c r="H811" s="31" t="str">
        <f t="shared" si="55"/>
        <v xml:space="preserve"> </v>
      </c>
      <c r="I811" s="92" t="s">
        <v>387</v>
      </c>
      <c r="J811" s="31">
        <v>92701000</v>
      </c>
      <c r="M811" s="31">
        <f t="shared" si="53"/>
        <v>0</v>
      </c>
    </row>
    <row r="812" spans="6:13" x14ac:dyDescent="0.25">
      <c r="F812" s="93" t="str">
        <f t="shared" si="54"/>
        <v/>
      </c>
      <c r="G812" s="31">
        <f t="shared" si="52"/>
        <v>0</v>
      </c>
      <c r="H812" s="31" t="str">
        <f t="shared" si="55"/>
        <v xml:space="preserve"> </v>
      </c>
      <c r="I812" s="92" t="s">
        <v>387</v>
      </c>
      <c r="J812" s="31">
        <v>92701000</v>
      </c>
      <c r="M812" s="31">
        <f t="shared" si="53"/>
        <v>0</v>
      </c>
    </row>
    <row r="813" spans="6:13" x14ac:dyDescent="0.25">
      <c r="F813" s="93" t="str">
        <f t="shared" si="54"/>
        <v/>
      </c>
      <c r="G813" s="31">
        <f t="shared" si="52"/>
        <v>0</v>
      </c>
      <c r="H813" s="31" t="str">
        <f t="shared" si="55"/>
        <v xml:space="preserve"> </v>
      </c>
      <c r="I813" s="92" t="s">
        <v>387</v>
      </c>
      <c r="J813" s="31">
        <v>92701000</v>
      </c>
      <c r="M813" s="31">
        <f t="shared" si="53"/>
        <v>0</v>
      </c>
    </row>
    <row r="814" spans="6:13" x14ac:dyDescent="0.25">
      <c r="F814" s="93" t="str">
        <f t="shared" si="54"/>
        <v/>
      </c>
      <c r="G814" s="31">
        <f t="shared" si="52"/>
        <v>0</v>
      </c>
      <c r="H814" s="31" t="str">
        <f t="shared" si="55"/>
        <v xml:space="preserve"> </v>
      </c>
      <c r="I814" s="92" t="s">
        <v>387</v>
      </c>
      <c r="J814" s="31">
        <v>92701000</v>
      </c>
      <c r="M814" s="31">
        <f t="shared" si="53"/>
        <v>0</v>
      </c>
    </row>
    <row r="815" spans="6:13" x14ac:dyDescent="0.25">
      <c r="F815" s="93" t="str">
        <f t="shared" si="54"/>
        <v/>
      </c>
      <c r="G815" s="31">
        <f t="shared" si="52"/>
        <v>0</v>
      </c>
      <c r="H815" s="31" t="str">
        <f t="shared" si="55"/>
        <v xml:space="preserve"> </v>
      </c>
      <c r="I815" s="92" t="s">
        <v>387</v>
      </c>
      <c r="J815" s="31">
        <v>92701000</v>
      </c>
      <c r="M815" s="31">
        <f t="shared" si="53"/>
        <v>0</v>
      </c>
    </row>
    <row r="816" spans="6:13" x14ac:dyDescent="0.25">
      <c r="F816" s="93" t="str">
        <f t="shared" si="54"/>
        <v/>
      </c>
      <c r="G816" s="31">
        <f t="shared" si="52"/>
        <v>0</v>
      </c>
      <c r="H816" s="31" t="str">
        <f t="shared" si="55"/>
        <v xml:space="preserve"> </v>
      </c>
      <c r="I816" s="92" t="s">
        <v>387</v>
      </c>
      <c r="J816" s="31">
        <v>92701000</v>
      </c>
      <c r="M816" s="31">
        <f t="shared" si="53"/>
        <v>0</v>
      </c>
    </row>
    <row r="817" spans="6:13" x14ac:dyDescent="0.25">
      <c r="F817" s="93" t="str">
        <f t="shared" si="54"/>
        <v/>
      </c>
      <c r="G817" s="31">
        <f t="shared" si="52"/>
        <v>0</v>
      </c>
      <c r="H817" s="31" t="str">
        <f t="shared" si="55"/>
        <v xml:space="preserve"> </v>
      </c>
      <c r="I817" s="92" t="s">
        <v>387</v>
      </c>
      <c r="J817" s="31">
        <v>92701000</v>
      </c>
      <c r="M817" s="31">
        <f t="shared" si="53"/>
        <v>0</v>
      </c>
    </row>
    <row r="818" spans="6:13" x14ac:dyDescent="0.25">
      <c r="F818" s="93" t="str">
        <f t="shared" si="54"/>
        <v/>
      </c>
      <c r="G818" s="31">
        <f t="shared" si="52"/>
        <v>0</v>
      </c>
      <c r="H818" s="31" t="str">
        <f t="shared" si="55"/>
        <v xml:space="preserve"> </v>
      </c>
      <c r="I818" s="92" t="s">
        <v>387</v>
      </c>
      <c r="J818" s="31">
        <v>92701000</v>
      </c>
      <c r="M818" s="31">
        <f t="shared" si="53"/>
        <v>0</v>
      </c>
    </row>
    <row r="819" spans="6:13" x14ac:dyDescent="0.25">
      <c r="F819" s="93" t="str">
        <f t="shared" si="54"/>
        <v/>
      </c>
      <c r="G819" s="31">
        <f t="shared" si="52"/>
        <v>0</v>
      </c>
      <c r="H819" s="31" t="str">
        <f t="shared" si="55"/>
        <v xml:space="preserve"> </v>
      </c>
      <c r="I819" s="92" t="s">
        <v>387</v>
      </c>
      <c r="J819" s="31">
        <v>92701000</v>
      </c>
      <c r="M819" s="31">
        <f t="shared" si="53"/>
        <v>0</v>
      </c>
    </row>
    <row r="820" spans="6:13" x14ac:dyDescent="0.25">
      <c r="F820" s="93" t="str">
        <f t="shared" si="54"/>
        <v/>
      </c>
      <c r="G820" s="31">
        <f t="shared" si="52"/>
        <v>0</v>
      </c>
      <c r="H820" s="31" t="str">
        <f t="shared" si="55"/>
        <v xml:space="preserve"> </v>
      </c>
      <c r="I820" s="92" t="s">
        <v>387</v>
      </c>
      <c r="J820" s="31">
        <v>92701000</v>
      </c>
      <c r="M820" s="31">
        <f t="shared" si="53"/>
        <v>0</v>
      </c>
    </row>
    <row r="821" spans="6:13" x14ac:dyDescent="0.25">
      <c r="F821" s="93" t="str">
        <f t="shared" si="54"/>
        <v/>
      </c>
      <c r="G821" s="31">
        <f t="shared" si="52"/>
        <v>0</v>
      </c>
      <c r="H821" s="31" t="str">
        <f t="shared" si="55"/>
        <v xml:space="preserve"> </v>
      </c>
      <c r="I821" s="92" t="s">
        <v>387</v>
      </c>
      <c r="J821" s="31">
        <v>92701000</v>
      </c>
      <c r="M821" s="31">
        <f t="shared" si="53"/>
        <v>0</v>
      </c>
    </row>
    <row r="822" spans="6:13" x14ac:dyDescent="0.25">
      <c r="F822" s="93" t="str">
        <f t="shared" si="54"/>
        <v/>
      </c>
      <c r="G822" s="31">
        <f t="shared" si="52"/>
        <v>0</v>
      </c>
      <c r="H822" s="31" t="str">
        <f t="shared" si="55"/>
        <v xml:space="preserve"> </v>
      </c>
      <c r="I822" s="92" t="s">
        <v>387</v>
      </c>
      <c r="J822" s="31">
        <v>92701000</v>
      </c>
      <c r="M822" s="31">
        <f t="shared" si="53"/>
        <v>0</v>
      </c>
    </row>
    <row r="823" spans="6:13" x14ac:dyDescent="0.25">
      <c r="F823" s="93" t="str">
        <f t="shared" si="54"/>
        <v/>
      </c>
      <c r="G823" s="31">
        <f t="shared" si="52"/>
        <v>0</v>
      </c>
      <c r="H823" s="31" t="str">
        <f t="shared" si="55"/>
        <v xml:space="preserve"> </v>
      </c>
      <c r="I823" s="92" t="s">
        <v>387</v>
      </c>
      <c r="J823" s="31">
        <v>92701000</v>
      </c>
      <c r="M823" s="31">
        <f t="shared" si="53"/>
        <v>0</v>
      </c>
    </row>
    <row r="824" spans="6:13" x14ac:dyDescent="0.25">
      <c r="F824" s="93" t="str">
        <f t="shared" si="54"/>
        <v/>
      </c>
      <c r="G824" s="31">
        <f t="shared" si="52"/>
        <v>0</v>
      </c>
      <c r="H824" s="31" t="str">
        <f t="shared" si="55"/>
        <v xml:space="preserve"> </v>
      </c>
      <c r="I824" s="92" t="s">
        <v>387</v>
      </c>
      <c r="J824" s="31">
        <v>92701000</v>
      </c>
      <c r="M824" s="31">
        <f t="shared" si="53"/>
        <v>0</v>
      </c>
    </row>
    <row r="825" spans="6:13" x14ac:dyDescent="0.25">
      <c r="F825" s="93" t="str">
        <f t="shared" si="54"/>
        <v/>
      </c>
      <c r="G825" s="31">
        <f t="shared" si="52"/>
        <v>0</v>
      </c>
      <c r="H825" s="31" t="str">
        <f t="shared" si="55"/>
        <v xml:space="preserve"> </v>
      </c>
      <c r="I825" s="92" t="s">
        <v>387</v>
      </c>
      <c r="J825" s="31">
        <v>92701000</v>
      </c>
      <c r="M825" s="31">
        <f t="shared" si="53"/>
        <v>0</v>
      </c>
    </row>
    <row r="826" spans="6:13" x14ac:dyDescent="0.25">
      <c r="F826" s="93" t="str">
        <f t="shared" si="54"/>
        <v/>
      </c>
      <c r="G826" s="31">
        <f t="shared" si="52"/>
        <v>0</v>
      </c>
      <c r="H826" s="31" t="str">
        <f t="shared" si="55"/>
        <v xml:space="preserve"> </v>
      </c>
      <c r="I826" s="92" t="s">
        <v>387</v>
      </c>
      <c r="J826" s="31">
        <v>92701000</v>
      </c>
      <c r="M826" s="31">
        <f t="shared" si="53"/>
        <v>0</v>
      </c>
    </row>
    <row r="827" spans="6:13" x14ac:dyDescent="0.25">
      <c r="F827" s="93" t="str">
        <f t="shared" si="54"/>
        <v/>
      </c>
      <c r="G827" s="31">
        <f t="shared" si="52"/>
        <v>0</v>
      </c>
      <c r="H827" s="31" t="str">
        <f t="shared" si="55"/>
        <v xml:space="preserve"> </v>
      </c>
      <c r="I827" s="92" t="s">
        <v>387</v>
      </c>
      <c r="J827" s="31">
        <v>92701000</v>
      </c>
      <c r="M827" s="31">
        <f t="shared" si="53"/>
        <v>0</v>
      </c>
    </row>
    <row r="828" spans="6:13" x14ac:dyDescent="0.25">
      <c r="F828" s="93" t="str">
        <f t="shared" si="54"/>
        <v/>
      </c>
      <c r="G828" s="31">
        <f t="shared" si="52"/>
        <v>0</v>
      </c>
      <c r="H828" s="31" t="str">
        <f t="shared" si="55"/>
        <v xml:space="preserve"> </v>
      </c>
      <c r="I828" s="92" t="s">
        <v>387</v>
      </c>
      <c r="J828" s="31">
        <v>92701000</v>
      </c>
      <c r="M828" s="31">
        <f t="shared" si="53"/>
        <v>0</v>
      </c>
    </row>
    <row r="829" spans="6:13" x14ac:dyDescent="0.25">
      <c r="F829" s="93" t="str">
        <f t="shared" si="54"/>
        <v/>
      </c>
      <c r="G829" s="31">
        <f t="shared" si="52"/>
        <v>0</v>
      </c>
      <c r="H829" s="31" t="str">
        <f t="shared" si="55"/>
        <v xml:space="preserve"> </v>
      </c>
      <c r="I829" s="92" t="s">
        <v>387</v>
      </c>
      <c r="J829" s="31">
        <v>92701000</v>
      </c>
      <c r="M829" s="31">
        <f t="shared" si="53"/>
        <v>0</v>
      </c>
    </row>
    <row r="830" spans="6:13" x14ac:dyDescent="0.25">
      <c r="F830" s="93" t="str">
        <f t="shared" si="54"/>
        <v/>
      </c>
      <c r="G830" s="31">
        <f t="shared" si="52"/>
        <v>0</v>
      </c>
      <c r="H830" s="31" t="str">
        <f t="shared" si="55"/>
        <v xml:space="preserve"> </v>
      </c>
      <c r="I830" s="92" t="s">
        <v>387</v>
      </c>
      <c r="J830" s="31">
        <v>92701000</v>
      </c>
      <c r="M830" s="31">
        <f t="shared" si="53"/>
        <v>0</v>
      </c>
    </row>
    <row r="831" spans="6:13" x14ac:dyDescent="0.25">
      <c r="F831" s="93" t="str">
        <f t="shared" si="54"/>
        <v/>
      </c>
      <c r="G831" s="31">
        <f t="shared" si="52"/>
        <v>0</v>
      </c>
      <c r="H831" s="31" t="str">
        <f t="shared" si="55"/>
        <v xml:space="preserve"> </v>
      </c>
      <c r="I831" s="92" t="s">
        <v>387</v>
      </c>
      <c r="J831" s="31">
        <v>92701000</v>
      </c>
      <c r="M831" s="31">
        <f t="shared" si="53"/>
        <v>0</v>
      </c>
    </row>
    <row r="832" spans="6:13" x14ac:dyDescent="0.25">
      <c r="F832" s="93" t="str">
        <f t="shared" si="54"/>
        <v/>
      </c>
      <c r="G832" s="31">
        <f t="shared" si="52"/>
        <v>0</v>
      </c>
      <c r="H832" s="31" t="str">
        <f t="shared" si="55"/>
        <v xml:space="preserve"> </v>
      </c>
      <c r="I832" s="92" t="s">
        <v>387</v>
      </c>
      <c r="J832" s="31">
        <v>92701000</v>
      </c>
      <c r="M832" s="31">
        <f t="shared" si="53"/>
        <v>0</v>
      </c>
    </row>
    <row r="833" spans="6:13" x14ac:dyDescent="0.25">
      <c r="F833" s="93" t="str">
        <f t="shared" si="54"/>
        <v/>
      </c>
      <c r="G833" s="31">
        <f t="shared" si="52"/>
        <v>0</v>
      </c>
      <c r="H833" s="31" t="str">
        <f t="shared" si="55"/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3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3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3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3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3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3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3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3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3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3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3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3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3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3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3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3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3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3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3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3" t="str">
        <f t="shared" si="54"/>
        <v/>
      </c>
      <c r="G853" s="31">
        <f t="shared" ref="G853:G916" si="56">B853</f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3" t="str">
        <f t="shared" si="54"/>
        <v/>
      </c>
      <c r="G854" s="31">
        <f t="shared" si="56"/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3" t="str">
        <f t="shared" si="54"/>
        <v/>
      </c>
      <c r="G855" s="31">
        <f t="shared" si="56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3" t="str">
        <f t="shared" si="54"/>
        <v/>
      </c>
      <c r="G856" s="31">
        <f t="shared" si="56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3" t="str">
        <f t="shared" si="54"/>
        <v/>
      </c>
      <c r="G857" s="31">
        <f t="shared" si="56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3" t="str">
        <f t="shared" si="54"/>
        <v/>
      </c>
      <c r="G858" s="31">
        <f t="shared" si="56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3" t="str">
        <f t="shared" si="54"/>
        <v/>
      </c>
      <c r="G859" s="31">
        <f t="shared" si="56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3" t="str">
        <f t="shared" si="54"/>
        <v/>
      </c>
      <c r="G860" s="31">
        <f t="shared" si="56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3" t="str">
        <f t="shared" si="54"/>
        <v/>
      </c>
      <c r="G861" s="31">
        <f t="shared" si="56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3" t="str">
        <f t="shared" si="54"/>
        <v/>
      </c>
      <c r="G862" s="31">
        <f t="shared" si="56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3" t="str">
        <f t="shared" si="54"/>
        <v/>
      </c>
      <c r="G863" s="31">
        <f t="shared" si="56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3" t="str">
        <f t="shared" si="54"/>
        <v/>
      </c>
      <c r="G864" s="31">
        <f t="shared" si="56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3" t="str">
        <f t="shared" si="54"/>
        <v/>
      </c>
      <c r="G865" s="31">
        <f t="shared" si="56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3" t="str">
        <f t="shared" si="54"/>
        <v/>
      </c>
      <c r="G866" s="31">
        <f t="shared" si="56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3" t="str">
        <f t="shared" si="54"/>
        <v/>
      </c>
      <c r="G867" s="31">
        <f t="shared" si="56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3" t="str">
        <f t="shared" si="54"/>
        <v/>
      </c>
      <c r="G868" s="31">
        <f t="shared" si="56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3" t="str">
        <f t="shared" si="54"/>
        <v/>
      </c>
      <c r="G869" s="31">
        <f t="shared" si="56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3" t="str">
        <f t="shared" si="54"/>
        <v/>
      </c>
      <c r="G870" s="31">
        <f t="shared" si="56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ref="M870:M933" si="57">E870</f>
        <v>0</v>
      </c>
    </row>
    <row r="871" spans="6:13" x14ac:dyDescent="0.25">
      <c r="F871" s="93" t="str">
        <f t="shared" si="54"/>
        <v/>
      </c>
      <c r="G871" s="31">
        <f t="shared" si="56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si="57"/>
        <v>0</v>
      </c>
    </row>
    <row r="872" spans="6:13" x14ac:dyDescent="0.25">
      <c r="F872" s="93" t="str">
        <f t="shared" si="54"/>
        <v/>
      </c>
      <c r="G872" s="31">
        <f t="shared" si="56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7"/>
        <v>0</v>
      </c>
    </row>
    <row r="873" spans="6:13" x14ac:dyDescent="0.25">
      <c r="F873" s="93" t="str">
        <f t="shared" ref="F873:F936" si="58">TRIM(A873)</f>
        <v/>
      </c>
      <c r="G873" s="31">
        <f t="shared" si="56"/>
        <v>0</v>
      </c>
      <c r="H873" s="31" t="str">
        <f t="shared" ref="H873:H936" si="59">CONCATENATE(TRIM(C873)," ",D873)</f>
        <v xml:space="preserve"> </v>
      </c>
      <c r="I873" s="92" t="s">
        <v>387</v>
      </c>
      <c r="J873" s="31">
        <v>92701000</v>
      </c>
      <c r="M873" s="31">
        <f t="shared" si="57"/>
        <v>0</v>
      </c>
    </row>
    <row r="874" spans="6:13" x14ac:dyDescent="0.25">
      <c r="F874" s="93" t="str">
        <f t="shared" si="58"/>
        <v/>
      </c>
      <c r="G874" s="31">
        <f t="shared" si="56"/>
        <v>0</v>
      </c>
      <c r="H874" s="31" t="str">
        <f t="shared" si="59"/>
        <v xml:space="preserve"> </v>
      </c>
      <c r="I874" s="92" t="s">
        <v>387</v>
      </c>
      <c r="J874" s="31">
        <v>92701000</v>
      </c>
      <c r="M874" s="31">
        <f t="shared" si="57"/>
        <v>0</v>
      </c>
    </row>
    <row r="875" spans="6:13" x14ac:dyDescent="0.25">
      <c r="F875" s="93" t="str">
        <f t="shared" si="58"/>
        <v/>
      </c>
      <c r="G875" s="31">
        <f t="shared" si="56"/>
        <v>0</v>
      </c>
      <c r="H875" s="31" t="str">
        <f t="shared" si="59"/>
        <v xml:space="preserve"> </v>
      </c>
      <c r="I875" s="92" t="s">
        <v>387</v>
      </c>
      <c r="J875" s="31">
        <v>92701000</v>
      </c>
      <c r="M875" s="31">
        <f t="shared" si="57"/>
        <v>0</v>
      </c>
    </row>
    <row r="876" spans="6:13" x14ac:dyDescent="0.25">
      <c r="F876" s="93" t="str">
        <f t="shared" si="58"/>
        <v/>
      </c>
      <c r="G876" s="31">
        <f t="shared" si="56"/>
        <v>0</v>
      </c>
      <c r="H876" s="31" t="str">
        <f t="shared" si="59"/>
        <v xml:space="preserve"> </v>
      </c>
      <c r="I876" s="92" t="s">
        <v>387</v>
      </c>
      <c r="J876" s="31">
        <v>92701000</v>
      </c>
      <c r="M876" s="31">
        <f t="shared" si="57"/>
        <v>0</v>
      </c>
    </row>
    <row r="877" spans="6:13" x14ac:dyDescent="0.25">
      <c r="F877" s="93" t="str">
        <f t="shared" si="58"/>
        <v/>
      </c>
      <c r="G877" s="31">
        <f t="shared" si="56"/>
        <v>0</v>
      </c>
      <c r="H877" s="31" t="str">
        <f t="shared" si="59"/>
        <v xml:space="preserve"> </v>
      </c>
      <c r="I877" s="92" t="s">
        <v>387</v>
      </c>
      <c r="J877" s="31">
        <v>92701000</v>
      </c>
      <c r="M877" s="31">
        <f t="shared" si="57"/>
        <v>0</v>
      </c>
    </row>
    <row r="878" spans="6:13" x14ac:dyDescent="0.25">
      <c r="F878" s="93" t="str">
        <f t="shared" si="58"/>
        <v/>
      </c>
      <c r="G878" s="31">
        <f t="shared" si="56"/>
        <v>0</v>
      </c>
      <c r="H878" s="31" t="str">
        <f t="shared" si="59"/>
        <v xml:space="preserve"> </v>
      </c>
      <c r="I878" s="92" t="s">
        <v>387</v>
      </c>
      <c r="J878" s="31">
        <v>92701000</v>
      </c>
      <c r="M878" s="31">
        <f t="shared" si="57"/>
        <v>0</v>
      </c>
    </row>
    <row r="879" spans="6:13" x14ac:dyDescent="0.25">
      <c r="F879" s="93" t="str">
        <f t="shared" si="58"/>
        <v/>
      </c>
      <c r="G879" s="31">
        <f t="shared" si="56"/>
        <v>0</v>
      </c>
      <c r="H879" s="31" t="str">
        <f t="shared" si="59"/>
        <v xml:space="preserve"> </v>
      </c>
      <c r="I879" s="92" t="s">
        <v>387</v>
      </c>
      <c r="J879" s="31">
        <v>92701000</v>
      </c>
      <c r="M879" s="31">
        <f t="shared" si="57"/>
        <v>0</v>
      </c>
    </row>
    <row r="880" spans="6:13" x14ac:dyDescent="0.25">
      <c r="F880" s="93" t="str">
        <f t="shared" si="58"/>
        <v/>
      </c>
      <c r="G880" s="31">
        <f t="shared" si="56"/>
        <v>0</v>
      </c>
      <c r="H880" s="31" t="str">
        <f t="shared" si="59"/>
        <v xml:space="preserve"> </v>
      </c>
      <c r="I880" s="92" t="s">
        <v>387</v>
      </c>
      <c r="J880" s="31">
        <v>92701000</v>
      </c>
      <c r="M880" s="31">
        <f t="shared" si="57"/>
        <v>0</v>
      </c>
    </row>
    <row r="881" spans="6:13" x14ac:dyDescent="0.25">
      <c r="F881" s="93" t="str">
        <f t="shared" si="58"/>
        <v/>
      </c>
      <c r="G881" s="31">
        <f t="shared" si="56"/>
        <v>0</v>
      </c>
      <c r="H881" s="31" t="str">
        <f t="shared" si="59"/>
        <v xml:space="preserve"> </v>
      </c>
      <c r="I881" s="92" t="s">
        <v>387</v>
      </c>
      <c r="J881" s="31">
        <v>92701000</v>
      </c>
      <c r="M881" s="31">
        <f t="shared" si="57"/>
        <v>0</v>
      </c>
    </row>
    <row r="882" spans="6:13" x14ac:dyDescent="0.25">
      <c r="F882" s="93" t="str">
        <f t="shared" si="58"/>
        <v/>
      </c>
      <c r="G882" s="31">
        <f t="shared" si="56"/>
        <v>0</v>
      </c>
      <c r="H882" s="31" t="str">
        <f t="shared" si="59"/>
        <v xml:space="preserve"> </v>
      </c>
      <c r="I882" s="92" t="s">
        <v>387</v>
      </c>
      <c r="J882" s="31">
        <v>92701000</v>
      </c>
      <c r="M882" s="31">
        <f t="shared" si="57"/>
        <v>0</v>
      </c>
    </row>
    <row r="883" spans="6:13" x14ac:dyDescent="0.25">
      <c r="F883" s="93" t="str">
        <f t="shared" si="58"/>
        <v/>
      </c>
      <c r="G883" s="31">
        <f t="shared" si="56"/>
        <v>0</v>
      </c>
      <c r="H883" s="31" t="str">
        <f t="shared" si="59"/>
        <v xml:space="preserve"> </v>
      </c>
      <c r="I883" s="92" t="s">
        <v>387</v>
      </c>
      <c r="J883" s="31">
        <v>92701000</v>
      </c>
      <c r="M883" s="31">
        <f t="shared" si="57"/>
        <v>0</v>
      </c>
    </row>
    <row r="884" spans="6:13" x14ac:dyDescent="0.25">
      <c r="F884" s="93" t="str">
        <f t="shared" si="58"/>
        <v/>
      </c>
      <c r="G884" s="31">
        <f t="shared" si="56"/>
        <v>0</v>
      </c>
      <c r="H884" s="31" t="str">
        <f t="shared" si="59"/>
        <v xml:space="preserve"> </v>
      </c>
      <c r="I884" s="92" t="s">
        <v>387</v>
      </c>
      <c r="J884" s="31">
        <v>92701000</v>
      </c>
      <c r="M884" s="31">
        <f t="shared" si="57"/>
        <v>0</v>
      </c>
    </row>
    <row r="885" spans="6:13" x14ac:dyDescent="0.25">
      <c r="F885" s="93" t="str">
        <f t="shared" si="58"/>
        <v/>
      </c>
      <c r="G885" s="31">
        <f t="shared" si="56"/>
        <v>0</v>
      </c>
      <c r="H885" s="31" t="str">
        <f t="shared" si="59"/>
        <v xml:space="preserve"> </v>
      </c>
      <c r="I885" s="92" t="s">
        <v>387</v>
      </c>
      <c r="J885" s="31">
        <v>92701000</v>
      </c>
      <c r="M885" s="31">
        <f t="shared" si="57"/>
        <v>0</v>
      </c>
    </row>
    <row r="886" spans="6:13" x14ac:dyDescent="0.25">
      <c r="F886" s="93" t="str">
        <f t="shared" si="58"/>
        <v/>
      </c>
      <c r="G886" s="31">
        <f t="shared" si="56"/>
        <v>0</v>
      </c>
      <c r="H886" s="31" t="str">
        <f t="shared" si="59"/>
        <v xml:space="preserve"> </v>
      </c>
      <c r="I886" s="92" t="s">
        <v>387</v>
      </c>
      <c r="J886" s="31">
        <v>92701000</v>
      </c>
      <c r="M886" s="31">
        <f t="shared" si="57"/>
        <v>0</v>
      </c>
    </row>
    <row r="887" spans="6:13" x14ac:dyDescent="0.25">
      <c r="F887" s="93" t="str">
        <f t="shared" si="58"/>
        <v/>
      </c>
      <c r="G887" s="31">
        <f t="shared" si="56"/>
        <v>0</v>
      </c>
      <c r="H887" s="31" t="str">
        <f t="shared" si="59"/>
        <v xml:space="preserve"> </v>
      </c>
      <c r="I887" s="92" t="s">
        <v>387</v>
      </c>
      <c r="J887" s="31">
        <v>92701000</v>
      </c>
      <c r="M887" s="31">
        <f t="shared" si="57"/>
        <v>0</v>
      </c>
    </row>
    <row r="888" spans="6:13" x14ac:dyDescent="0.25">
      <c r="F888" s="93" t="str">
        <f t="shared" si="58"/>
        <v/>
      </c>
      <c r="G888" s="31">
        <f t="shared" si="56"/>
        <v>0</v>
      </c>
      <c r="H888" s="31" t="str">
        <f t="shared" si="59"/>
        <v xml:space="preserve"> </v>
      </c>
      <c r="I888" s="92" t="s">
        <v>387</v>
      </c>
      <c r="J888" s="31">
        <v>92701000</v>
      </c>
      <c r="M888" s="31">
        <f t="shared" si="57"/>
        <v>0</v>
      </c>
    </row>
    <row r="889" spans="6:13" x14ac:dyDescent="0.25">
      <c r="F889" s="93" t="str">
        <f t="shared" si="58"/>
        <v/>
      </c>
      <c r="G889" s="31">
        <f t="shared" si="56"/>
        <v>0</v>
      </c>
      <c r="H889" s="31" t="str">
        <f t="shared" si="59"/>
        <v xml:space="preserve"> </v>
      </c>
      <c r="I889" s="92" t="s">
        <v>387</v>
      </c>
      <c r="J889" s="31">
        <v>92701000</v>
      </c>
      <c r="M889" s="31">
        <f t="shared" si="57"/>
        <v>0</v>
      </c>
    </row>
    <row r="890" spans="6:13" x14ac:dyDescent="0.25">
      <c r="F890" s="93" t="str">
        <f t="shared" si="58"/>
        <v/>
      </c>
      <c r="G890" s="31">
        <f t="shared" si="56"/>
        <v>0</v>
      </c>
      <c r="H890" s="31" t="str">
        <f t="shared" si="59"/>
        <v xml:space="preserve"> </v>
      </c>
      <c r="I890" s="92" t="s">
        <v>387</v>
      </c>
      <c r="J890" s="31">
        <v>92701000</v>
      </c>
      <c r="M890" s="31">
        <f t="shared" si="57"/>
        <v>0</v>
      </c>
    </row>
    <row r="891" spans="6:13" x14ac:dyDescent="0.25">
      <c r="F891" s="93" t="str">
        <f t="shared" si="58"/>
        <v/>
      </c>
      <c r="G891" s="31">
        <f t="shared" si="56"/>
        <v>0</v>
      </c>
      <c r="H891" s="31" t="str">
        <f t="shared" si="59"/>
        <v xml:space="preserve"> </v>
      </c>
      <c r="I891" s="92" t="s">
        <v>387</v>
      </c>
      <c r="J891" s="31">
        <v>92701000</v>
      </c>
      <c r="M891" s="31">
        <f t="shared" si="57"/>
        <v>0</v>
      </c>
    </row>
    <row r="892" spans="6:13" x14ac:dyDescent="0.25">
      <c r="F892" s="93" t="str">
        <f t="shared" si="58"/>
        <v/>
      </c>
      <c r="G892" s="31">
        <f t="shared" si="56"/>
        <v>0</v>
      </c>
      <c r="H892" s="31" t="str">
        <f t="shared" si="59"/>
        <v xml:space="preserve"> </v>
      </c>
      <c r="I892" s="92" t="s">
        <v>387</v>
      </c>
      <c r="J892" s="31">
        <v>92701000</v>
      </c>
      <c r="M892" s="31">
        <f t="shared" si="57"/>
        <v>0</v>
      </c>
    </row>
    <row r="893" spans="6:13" x14ac:dyDescent="0.25">
      <c r="F893" s="93" t="str">
        <f t="shared" si="58"/>
        <v/>
      </c>
      <c r="G893" s="31">
        <f t="shared" si="56"/>
        <v>0</v>
      </c>
      <c r="H893" s="31" t="str">
        <f t="shared" si="59"/>
        <v xml:space="preserve"> </v>
      </c>
      <c r="I893" s="92" t="s">
        <v>387</v>
      </c>
      <c r="J893" s="31">
        <v>92701000</v>
      </c>
      <c r="M893" s="31">
        <f t="shared" si="57"/>
        <v>0</v>
      </c>
    </row>
    <row r="894" spans="6:13" x14ac:dyDescent="0.25">
      <c r="F894" s="93" t="str">
        <f t="shared" si="58"/>
        <v/>
      </c>
      <c r="G894" s="31">
        <f t="shared" si="56"/>
        <v>0</v>
      </c>
      <c r="H894" s="31" t="str">
        <f t="shared" si="59"/>
        <v xml:space="preserve"> </v>
      </c>
      <c r="I894" s="92" t="s">
        <v>387</v>
      </c>
      <c r="J894" s="31">
        <v>92701000</v>
      </c>
      <c r="M894" s="31">
        <f t="shared" si="57"/>
        <v>0</v>
      </c>
    </row>
    <row r="895" spans="6:13" x14ac:dyDescent="0.25">
      <c r="F895" s="93" t="str">
        <f t="shared" si="58"/>
        <v/>
      </c>
      <c r="G895" s="31">
        <f t="shared" si="56"/>
        <v>0</v>
      </c>
      <c r="H895" s="31" t="str">
        <f t="shared" si="59"/>
        <v xml:space="preserve"> </v>
      </c>
      <c r="I895" s="92" t="s">
        <v>387</v>
      </c>
      <c r="J895" s="31">
        <v>92701000</v>
      </c>
      <c r="M895" s="31">
        <f t="shared" si="57"/>
        <v>0</v>
      </c>
    </row>
    <row r="896" spans="6:13" x14ac:dyDescent="0.25">
      <c r="F896" s="93" t="str">
        <f t="shared" si="58"/>
        <v/>
      </c>
      <c r="G896" s="31">
        <f t="shared" si="56"/>
        <v>0</v>
      </c>
      <c r="H896" s="31" t="str">
        <f t="shared" si="59"/>
        <v xml:space="preserve"> </v>
      </c>
      <c r="I896" s="92" t="s">
        <v>387</v>
      </c>
      <c r="J896" s="31">
        <v>92701000</v>
      </c>
      <c r="M896" s="31">
        <f t="shared" si="57"/>
        <v>0</v>
      </c>
    </row>
    <row r="897" spans="6:13" x14ac:dyDescent="0.25">
      <c r="F897" s="93" t="str">
        <f t="shared" si="58"/>
        <v/>
      </c>
      <c r="G897" s="31">
        <f t="shared" si="56"/>
        <v>0</v>
      </c>
      <c r="H897" s="31" t="str">
        <f t="shared" si="59"/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3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3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3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3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3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3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3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3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3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3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3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3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3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3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3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3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3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3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3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3" t="str">
        <f t="shared" si="58"/>
        <v/>
      </c>
      <c r="G917" s="31">
        <f t="shared" ref="G917:G980" si="60">B917</f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3" t="str">
        <f t="shared" si="58"/>
        <v/>
      </c>
      <c r="G918" s="31">
        <f t="shared" si="60"/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3" t="str">
        <f t="shared" si="58"/>
        <v/>
      </c>
      <c r="G919" s="31">
        <f t="shared" si="60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3" t="str">
        <f t="shared" si="58"/>
        <v/>
      </c>
      <c r="G920" s="31">
        <f t="shared" si="60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3" t="str">
        <f t="shared" si="58"/>
        <v/>
      </c>
      <c r="G921" s="31">
        <f t="shared" si="60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3" t="str">
        <f t="shared" si="58"/>
        <v/>
      </c>
      <c r="G922" s="31">
        <f t="shared" si="60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3" t="str">
        <f t="shared" si="58"/>
        <v/>
      </c>
      <c r="G923" s="31">
        <f t="shared" si="60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3" t="str">
        <f t="shared" si="58"/>
        <v/>
      </c>
      <c r="G924" s="31">
        <f t="shared" si="60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3" t="str">
        <f t="shared" si="58"/>
        <v/>
      </c>
      <c r="G925" s="31">
        <f t="shared" si="60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3" t="str">
        <f t="shared" si="58"/>
        <v/>
      </c>
      <c r="G926" s="31">
        <f t="shared" si="60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3" t="str">
        <f t="shared" si="58"/>
        <v/>
      </c>
      <c r="G927" s="31">
        <f t="shared" si="60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3" t="str">
        <f t="shared" si="58"/>
        <v/>
      </c>
      <c r="G928" s="31">
        <f t="shared" si="60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3" t="str">
        <f t="shared" si="58"/>
        <v/>
      </c>
      <c r="G929" s="31">
        <f t="shared" si="60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3" t="str">
        <f t="shared" si="58"/>
        <v/>
      </c>
      <c r="G930" s="31">
        <f t="shared" si="60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3" t="str">
        <f t="shared" si="58"/>
        <v/>
      </c>
      <c r="G931" s="31">
        <f t="shared" si="60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3" t="str">
        <f t="shared" si="58"/>
        <v/>
      </c>
      <c r="G932" s="31">
        <f t="shared" si="60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3" t="str">
        <f t="shared" si="58"/>
        <v/>
      </c>
      <c r="G933" s="31">
        <f t="shared" si="60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3" t="str">
        <f t="shared" si="58"/>
        <v/>
      </c>
      <c r="G934" s="31">
        <f t="shared" si="60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ref="M934:M997" si="61">E934</f>
        <v>0</v>
      </c>
    </row>
    <row r="935" spans="6:13" x14ac:dyDescent="0.25">
      <c r="F935" s="93" t="str">
        <f t="shared" si="58"/>
        <v/>
      </c>
      <c r="G935" s="31">
        <f t="shared" si="60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si="61"/>
        <v>0</v>
      </c>
    </row>
    <row r="936" spans="6:13" x14ac:dyDescent="0.25">
      <c r="F936" s="93" t="str">
        <f t="shared" si="58"/>
        <v/>
      </c>
      <c r="G936" s="31">
        <f t="shared" si="60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61"/>
        <v>0</v>
      </c>
    </row>
    <row r="937" spans="6:13" x14ac:dyDescent="0.25">
      <c r="F937" s="93" t="str">
        <f t="shared" ref="F937:F1000" si="62">TRIM(A937)</f>
        <v/>
      </c>
      <c r="G937" s="31">
        <f t="shared" si="60"/>
        <v>0</v>
      </c>
      <c r="H937" s="31" t="str">
        <f t="shared" ref="H937:H1000" si="63">CONCATENATE(TRIM(C937)," ",D937)</f>
        <v xml:space="preserve"> </v>
      </c>
      <c r="I937" s="92" t="s">
        <v>387</v>
      </c>
      <c r="J937" s="31">
        <v>92701000</v>
      </c>
      <c r="M937" s="31">
        <f t="shared" si="61"/>
        <v>0</v>
      </c>
    </row>
    <row r="938" spans="6:13" x14ac:dyDescent="0.25">
      <c r="F938" s="93" t="str">
        <f t="shared" si="62"/>
        <v/>
      </c>
      <c r="G938" s="31">
        <f t="shared" si="60"/>
        <v>0</v>
      </c>
      <c r="H938" s="31" t="str">
        <f t="shared" si="63"/>
        <v xml:space="preserve"> </v>
      </c>
      <c r="I938" s="92" t="s">
        <v>387</v>
      </c>
      <c r="J938" s="31">
        <v>92701000</v>
      </c>
      <c r="M938" s="31">
        <f t="shared" si="61"/>
        <v>0</v>
      </c>
    </row>
    <row r="939" spans="6:13" x14ac:dyDescent="0.25">
      <c r="F939" s="93" t="str">
        <f t="shared" si="62"/>
        <v/>
      </c>
      <c r="G939" s="31">
        <f t="shared" si="60"/>
        <v>0</v>
      </c>
      <c r="H939" s="31" t="str">
        <f t="shared" si="63"/>
        <v xml:space="preserve"> </v>
      </c>
      <c r="I939" s="92" t="s">
        <v>387</v>
      </c>
      <c r="J939" s="31">
        <v>92701000</v>
      </c>
      <c r="M939" s="31">
        <f t="shared" si="61"/>
        <v>0</v>
      </c>
    </row>
    <row r="940" spans="6:13" x14ac:dyDescent="0.25">
      <c r="F940" s="93" t="str">
        <f t="shared" si="62"/>
        <v/>
      </c>
      <c r="G940" s="31">
        <f t="shared" si="60"/>
        <v>0</v>
      </c>
      <c r="H940" s="31" t="str">
        <f t="shared" si="63"/>
        <v xml:space="preserve"> </v>
      </c>
      <c r="I940" s="92" t="s">
        <v>387</v>
      </c>
      <c r="J940" s="31">
        <v>92701000</v>
      </c>
      <c r="M940" s="31">
        <f t="shared" si="61"/>
        <v>0</v>
      </c>
    </row>
    <row r="941" spans="6:13" x14ac:dyDescent="0.25">
      <c r="F941" s="93" t="str">
        <f t="shared" si="62"/>
        <v/>
      </c>
      <c r="G941" s="31">
        <f t="shared" si="60"/>
        <v>0</v>
      </c>
      <c r="H941" s="31" t="str">
        <f t="shared" si="63"/>
        <v xml:space="preserve"> </v>
      </c>
      <c r="I941" s="92" t="s">
        <v>387</v>
      </c>
      <c r="J941" s="31">
        <v>92701000</v>
      </c>
      <c r="M941" s="31">
        <f t="shared" si="61"/>
        <v>0</v>
      </c>
    </row>
    <row r="942" spans="6:13" x14ac:dyDescent="0.25">
      <c r="F942" s="93" t="str">
        <f t="shared" si="62"/>
        <v/>
      </c>
      <c r="G942" s="31">
        <f t="shared" si="60"/>
        <v>0</v>
      </c>
      <c r="H942" s="31" t="str">
        <f t="shared" si="63"/>
        <v xml:space="preserve"> </v>
      </c>
      <c r="I942" s="92" t="s">
        <v>387</v>
      </c>
      <c r="J942" s="31">
        <v>92701000</v>
      </c>
      <c r="M942" s="31">
        <f t="shared" si="61"/>
        <v>0</v>
      </c>
    </row>
    <row r="943" spans="6:13" x14ac:dyDescent="0.25">
      <c r="F943" s="93" t="str">
        <f t="shared" si="62"/>
        <v/>
      </c>
      <c r="G943" s="31">
        <f t="shared" si="60"/>
        <v>0</v>
      </c>
      <c r="H943" s="31" t="str">
        <f t="shared" si="63"/>
        <v xml:space="preserve"> </v>
      </c>
      <c r="I943" s="92" t="s">
        <v>387</v>
      </c>
      <c r="J943" s="31">
        <v>92701000</v>
      </c>
      <c r="M943" s="31">
        <f t="shared" si="61"/>
        <v>0</v>
      </c>
    </row>
    <row r="944" spans="6:13" x14ac:dyDescent="0.25">
      <c r="F944" s="93" t="str">
        <f t="shared" si="62"/>
        <v/>
      </c>
      <c r="G944" s="31">
        <f t="shared" si="60"/>
        <v>0</v>
      </c>
      <c r="H944" s="31" t="str">
        <f t="shared" si="63"/>
        <v xml:space="preserve"> </v>
      </c>
      <c r="I944" s="92" t="s">
        <v>387</v>
      </c>
      <c r="J944" s="31">
        <v>92701000</v>
      </c>
      <c r="M944" s="31">
        <f t="shared" si="61"/>
        <v>0</v>
      </c>
    </row>
    <row r="945" spans="6:13" x14ac:dyDescent="0.25">
      <c r="F945" s="93" t="str">
        <f t="shared" si="62"/>
        <v/>
      </c>
      <c r="G945" s="31">
        <f t="shared" si="60"/>
        <v>0</v>
      </c>
      <c r="H945" s="31" t="str">
        <f t="shared" si="63"/>
        <v xml:space="preserve"> </v>
      </c>
      <c r="I945" s="92" t="s">
        <v>387</v>
      </c>
      <c r="J945" s="31">
        <v>92701000</v>
      </c>
      <c r="M945" s="31">
        <f t="shared" si="61"/>
        <v>0</v>
      </c>
    </row>
    <row r="946" spans="6:13" x14ac:dyDescent="0.25">
      <c r="F946" s="93" t="str">
        <f t="shared" si="62"/>
        <v/>
      </c>
      <c r="G946" s="31">
        <f t="shared" si="60"/>
        <v>0</v>
      </c>
      <c r="H946" s="31" t="str">
        <f t="shared" si="63"/>
        <v xml:space="preserve"> </v>
      </c>
      <c r="I946" s="92" t="s">
        <v>387</v>
      </c>
      <c r="J946" s="31">
        <v>92701000</v>
      </c>
      <c r="M946" s="31">
        <f t="shared" si="61"/>
        <v>0</v>
      </c>
    </row>
    <row r="947" spans="6:13" x14ac:dyDescent="0.25">
      <c r="F947" s="93" t="str">
        <f t="shared" si="62"/>
        <v/>
      </c>
      <c r="G947" s="31">
        <f t="shared" si="60"/>
        <v>0</v>
      </c>
      <c r="H947" s="31" t="str">
        <f t="shared" si="63"/>
        <v xml:space="preserve"> </v>
      </c>
      <c r="I947" s="92" t="s">
        <v>387</v>
      </c>
      <c r="J947" s="31">
        <v>92701000</v>
      </c>
      <c r="M947" s="31">
        <f t="shared" si="61"/>
        <v>0</v>
      </c>
    </row>
    <row r="948" spans="6:13" x14ac:dyDescent="0.25">
      <c r="F948" s="93" t="str">
        <f t="shared" si="62"/>
        <v/>
      </c>
      <c r="G948" s="31">
        <f t="shared" si="60"/>
        <v>0</v>
      </c>
      <c r="H948" s="31" t="str">
        <f t="shared" si="63"/>
        <v xml:space="preserve"> </v>
      </c>
      <c r="I948" s="92" t="s">
        <v>387</v>
      </c>
      <c r="J948" s="31">
        <v>92701000</v>
      </c>
      <c r="M948" s="31">
        <f t="shared" si="61"/>
        <v>0</v>
      </c>
    </row>
    <row r="949" spans="6:13" x14ac:dyDescent="0.25">
      <c r="F949" s="93" t="str">
        <f t="shared" si="62"/>
        <v/>
      </c>
      <c r="G949" s="31">
        <f t="shared" si="60"/>
        <v>0</v>
      </c>
      <c r="H949" s="31" t="str">
        <f t="shared" si="63"/>
        <v xml:space="preserve"> </v>
      </c>
      <c r="I949" s="92" t="s">
        <v>387</v>
      </c>
      <c r="J949" s="31">
        <v>92701000</v>
      </c>
      <c r="M949" s="31">
        <f t="shared" si="61"/>
        <v>0</v>
      </c>
    </row>
    <row r="950" spans="6:13" x14ac:dyDescent="0.25">
      <c r="F950" s="93" t="str">
        <f t="shared" si="62"/>
        <v/>
      </c>
      <c r="G950" s="31">
        <f t="shared" si="60"/>
        <v>0</v>
      </c>
      <c r="H950" s="31" t="str">
        <f t="shared" si="63"/>
        <v xml:space="preserve"> </v>
      </c>
      <c r="I950" s="92" t="s">
        <v>387</v>
      </c>
      <c r="J950" s="31">
        <v>92701000</v>
      </c>
      <c r="M950" s="31">
        <f t="shared" si="61"/>
        <v>0</v>
      </c>
    </row>
    <row r="951" spans="6:13" x14ac:dyDescent="0.25">
      <c r="F951" s="93" t="str">
        <f t="shared" si="62"/>
        <v/>
      </c>
      <c r="G951" s="31">
        <f t="shared" si="60"/>
        <v>0</v>
      </c>
      <c r="H951" s="31" t="str">
        <f t="shared" si="63"/>
        <v xml:space="preserve"> </v>
      </c>
      <c r="I951" s="92" t="s">
        <v>387</v>
      </c>
      <c r="J951" s="31">
        <v>92701000</v>
      </c>
      <c r="M951" s="31">
        <f t="shared" si="61"/>
        <v>0</v>
      </c>
    </row>
    <row r="952" spans="6:13" x14ac:dyDescent="0.25">
      <c r="F952" s="93" t="str">
        <f t="shared" si="62"/>
        <v/>
      </c>
      <c r="G952" s="31">
        <f t="shared" si="60"/>
        <v>0</v>
      </c>
      <c r="H952" s="31" t="str">
        <f t="shared" si="63"/>
        <v xml:space="preserve"> </v>
      </c>
      <c r="I952" s="92" t="s">
        <v>387</v>
      </c>
      <c r="J952" s="31">
        <v>92701000</v>
      </c>
      <c r="M952" s="31">
        <f t="shared" si="61"/>
        <v>0</v>
      </c>
    </row>
    <row r="953" spans="6:13" x14ac:dyDescent="0.25">
      <c r="F953" s="93" t="str">
        <f t="shared" si="62"/>
        <v/>
      </c>
      <c r="G953" s="31">
        <f t="shared" si="60"/>
        <v>0</v>
      </c>
      <c r="H953" s="31" t="str">
        <f t="shared" si="63"/>
        <v xml:space="preserve"> </v>
      </c>
      <c r="I953" s="92" t="s">
        <v>387</v>
      </c>
      <c r="J953" s="31">
        <v>92701000</v>
      </c>
      <c r="M953" s="31">
        <f t="shared" si="61"/>
        <v>0</v>
      </c>
    </row>
    <row r="954" spans="6:13" x14ac:dyDescent="0.25">
      <c r="F954" s="93" t="str">
        <f t="shared" si="62"/>
        <v/>
      </c>
      <c r="G954" s="31">
        <f t="shared" si="60"/>
        <v>0</v>
      </c>
      <c r="H954" s="31" t="str">
        <f t="shared" si="63"/>
        <v xml:space="preserve"> </v>
      </c>
      <c r="I954" s="92" t="s">
        <v>387</v>
      </c>
      <c r="J954" s="31">
        <v>92701000</v>
      </c>
      <c r="M954" s="31">
        <f t="shared" si="61"/>
        <v>0</v>
      </c>
    </row>
    <row r="955" spans="6:13" x14ac:dyDescent="0.25">
      <c r="F955" s="93" t="str">
        <f t="shared" si="62"/>
        <v/>
      </c>
      <c r="G955" s="31">
        <f t="shared" si="60"/>
        <v>0</v>
      </c>
      <c r="H955" s="31" t="str">
        <f t="shared" si="63"/>
        <v xml:space="preserve"> </v>
      </c>
      <c r="I955" s="92" t="s">
        <v>387</v>
      </c>
      <c r="J955" s="31">
        <v>92701000</v>
      </c>
      <c r="M955" s="31">
        <f t="shared" si="61"/>
        <v>0</v>
      </c>
    </row>
    <row r="956" spans="6:13" x14ac:dyDescent="0.25">
      <c r="F956" s="93" t="str">
        <f t="shared" si="62"/>
        <v/>
      </c>
      <c r="G956" s="31">
        <f t="shared" si="60"/>
        <v>0</v>
      </c>
      <c r="H956" s="31" t="str">
        <f t="shared" si="63"/>
        <v xml:space="preserve"> </v>
      </c>
      <c r="I956" s="92" t="s">
        <v>387</v>
      </c>
      <c r="J956" s="31">
        <v>92701000</v>
      </c>
      <c r="M956" s="31">
        <f t="shared" si="61"/>
        <v>0</v>
      </c>
    </row>
    <row r="957" spans="6:13" x14ac:dyDescent="0.25">
      <c r="F957" s="93" t="str">
        <f t="shared" si="62"/>
        <v/>
      </c>
      <c r="G957" s="31">
        <f t="shared" si="60"/>
        <v>0</v>
      </c>
      <c r="H957" s="31" t="str">
        <f t="shared" si="63"/>
        <v xml:space="preserve"> </v>
      </c>
      <c r="I957" s="92" t="s">
        <v>387</v>
      </c>
      <c r="J957" s="31">
        <v>92701000</v>
      </c>
      <c r="M957" s="31">
        <f t="shared" si="61"/>
        <v>0</v>
      </c>
    </row>
    <row r="958" spans="6:13" x14ac:dyDescent="0.25">
      <c r="F958" s="93" t="str">
        <f t="shared" si="62"/>
        <v/>
      </c>
      <c r="G958" s="31">
        <f t="shared" si="60"/>
        <v>0</v>
      </c>
      <c r="H958" s="31" t="str">
        <f t="shared" si="63"/>
        <v xml:space="preserve"> </v>
      </c>
      <c r="I958" s="92" t="s">
        <v>387</v>
      </c>
      <c r="J958" s="31">
        <v>92701000</v>
      </c>
      <c r="M958" s="31">
        <f t="shared" si="61"/>
        <v>0</v>
      </c>
    </row>
    <row r="959" spans="6:13" x14ac:dyDescent="0.25">
      <c r="F959" s="93" t="str">
        <f t="shared" si="62"/>
        <v/>
      </c>
      <c r="G959" s="31">
        <f t="shared" si="60"/>
        <v>0</v>
      </c>
      <c r="H959" s="31" t="str">
        <f t="shared" si="63"/>
        <v xml:space="preserve"> </v>
      </c>
      <c r="I959" s="92" t="s">
        <v>387</v>
      </c>
      <c r="J959" s="31">
        <v>92701000</v>
      </c>
      <c r="M959" s="31">
        <f t="shared" si="61"/>
        <v>0</v>
      </c>
    </row>
    <row r="960" spans="6:13" x14ac:dyDescent="0.25">
      <c r="F960" s="93" t="str">
        <f t="shared" si="62"/>
        <v/>
      </c>
      <c r="G960" s="31">
        <f t="shared" si="60"/>
        <v>0</v>
      </c>
      <c r="H960" s="31" t="str">
        <f t="shared" si="63"/>
        <v xml:space="preserve"> </v>
      </c>
      <c r="I960" s="92" t="s">
        <v>387</v>
      </c>
      <c r="J960" s="31">
        <v>92701000</v>
      </c>
      <c r="M960" s="31">
        <f t="shared" si="61"/>
        <v>0</v>
      </c>
    </row>
    <row r="961" spans="6:13" x14ac:dyDescent="0.25">
      <c r="F961" s="93" t="str">
        <f t="shared" si="62"/>
        <v/>
      </c>
      <c r="G961" s="31">
        <f t="shared" si="60"/>
        <v>0</v>
      </c>
      <c r="H961" s="31" t="str">
        <f t="shared" si="63"/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3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3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3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3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3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3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3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3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3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3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3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3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3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3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3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3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3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3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3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3" t="str">
        <f t="shared" si="62"/>
        <v/>
      </c>
      <c r="G981" s="31">
        <f t="shared" ref="G981:G1044" si="64">B981</f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3" t="str">
        <f t="shared" si="62"/>
        <v/>
      </c>
      <c r="G982" s="31">
        <f t="shared" si="64"/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3" t="str">
        <f t="shared" si="62"/>
        <v/>
      </c>
      <c r="G983" s="31">
        <f t="shared" si="64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3" t="str">
        <f t="shared" si="62"/>
        <v/>
      </c>
      <c r="G984" s="31">
        <f t="shared" si="64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3" t="str">
        <f t="shared" si="62"/>
        <v/>
      </c>
      <c r="G985" s="31">
        <f t="shared" si="64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3" t="str">
        <f t="shared" si="62"/>
        <v/>
      </c>
      <c r="G986" s="31">
        <f t="shared" si="64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3" t="str">
        <f t="shared" si="62"/>
        <v/>
      </c>
      <c r="G987" s="31">
        <f t="shared" si="64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3" t="str">
        <f t="shared" si="62"/>
        <v/>
      </c>
      <c r="G988" s="31">
        <f t="shared" si="64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3" t="str">
        <f t="shared" si="62"/>
        <v/>
      </c>
      <c r="G989" s="31">
        <f t="shared" si="64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3" t="str">
        <f t="shared" si="62"/>
        <v/>
      </c>
      <c r="G990" s="31">
        <f t="shared" si="64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3" t="str">
        <f t="shared" si="62"/>
        <v/>
      </c>
      <c r="G991" s="31">
        <f t="shared" si="64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3" t="str">
        <f t="shared" si="62"/>
        <v/>
      </c>
      <c r="G992" s="31">
        <f t="shared" si="64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3" t="str">
        <f t="shared" si="62"/>
        <v/>
      </c>
      <c r="G993" s="31">
        <f t="shared" si="64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3" t="str">
        <f t="shared" si="62"/>
        <v/>
      </c>
      <c r="G994" s="31">
        <f t="shared" si="64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3" t="str">
        <f t="shared" si="62"/>
        <v/>
      </c>
      <c r="G995" s="31">
        <f t="shared" si="64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3" t="str">
        <f t="shared" si="62"/>
        <v/>
      </c>
      <c r="G996" s="31">
        <f t="shared" si="64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3" t="str">
        <f t="shared" si="62"/>
        <v/>
      </c>
      <c r="G997" s="31">
        <f t="shared" si="64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3" t="str">
        <f t="shared" si="62"/>
        <v/>
      </c>
      <c r="G998" s="31">
        <f t="shared" si="64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ref="M998:M1061" si="65">E998</f>
        <v>0</v>
      </c>
    </row>
    <row r="999" spans="6:13" x14ac:dyDescent="0.25">
      <c r="F999" s="93" t="str">
        <f t="shared" si="62"/>
        <v/>
      </c>
      <c r="G999" s="31">
        <f t="shared" si="64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si="65"/>
        <v>0</v>
      </c>
    </row>
    <row r="1000" spans="6:13" x14ac:dyDescent="0.25">
      <c r="F1000" s="93" t="str">
        <f t="shared" si="62"/>
        <v/>
      </c>
      <c r="G1000" s="31">
        <f t="shared" si="64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5"/>
        <v>0</v>
      </c>
    </row>
    <row r="1001" spans="6:13" x14ac:dyDescent="0.25">
      <c r="F1001" s="93" t="str">
        <f t="shared" ref="F1001:F1064" si="66">TRIM(A1001)</f>
        <v/>
      </c>
      <c r="G1001" s="31">
        <f t="shared" si="64"/>
        <v>0</v>
      </c>
      <c r="H1001" s="31" t="str">
        <f t="shared" ref="H1001:H1064" si="67">CONCATENATE(TRIM(C1001)," ",D1001)</f>
        <v xml:space="preserve"> </v>
      </c>
      <c r="I1001" s="92" t="s">
        <v>387</v>
      </c>
      <c r="J1001" s="31">
        <v>92701000</v>
      </c>
      <c r="M1001" s="31">
        <f t="shared" si="65"/>
        <v>0</v>
      </c>
    </row>
    <row r="1002" spans="6:13" x14ac:dyDescent="0.25">
      <c r="F1002" s="93" t="str">
        <f t="shared" si="66"/>
        <v/>
      </c>
      <c r="G1002" s="31">
        <f t="shared" si="64"/>
        <v>0</v>
      </c>
      <c r="H1002" s="31" t="str">
        <f t="shared" si="67"/>
        <v xml:space="preserve"> </v>
      </c>
      <c r="I1002" s="92" t="s">
        <v>387</v>
      </c>
      <c r="J1002" s="31">
        <v>92701000</v>
      </c>
      <c r="M1002" s="31">
        <f t="shared" si="65"/>
        <v>0</v>
      </c>
    </row>
    <row r="1003" spans="6:13" x14ac:dyDescent="0.25">
      <c r="F1003" s="93" t="str">
        <f t="shared" si="66"/>
        <v/>
      </c>
      <c r="G1003" s="31">
        <f t="shared" si="64"/>
        <v>0</v>
      </c>
      <c r="H1003" s="31" t="str">
        <f t="shared" si="67"/>
        <v xml:space="preserve"> </v>
      </c>
      <c r="I1003" s="92" t="s">
        <v>387</v>
      </c>
      <c r="J1003" s="31">
        <v>92701000</v>
      </c>
      <c r="M1003" s="31">
        <f t="shared" si="65"/>
        <v>0</v>
      </c>
    </row>
    <row r="1004" spans="6:13" x14ac:dyDescent="0.25">
      <c r="F1004" s="93" t="str">
        <f t="shared" si="66"/>
        <v/>
      </c>
      <c r="G1004" s="31">
        <f t="shared" si="64"/>
        <v>0</v>
      </c>
      <c r="H1004" s="31" t="str">
        <f t="shared" si="67"/>
        <v xml:space="preserve"> </v>
      </c>
      <c r="I1004" s="92" t="s">
        <v>387</v>
      </c>
      <c r="J1004" s="31">
        <v>92701000</v>
      </c>
      <c r="M1004" s="31">
        <f t="shared" si="65"/>
        <v>0</v>
      </c>
    </row>
    <row r="1005" spans="6:13" x14ac:dyDescent="0.25">
      <c r="F1005" s="93" t="str">
        <f t="shared" si="66"/>
        <v/>
      </c>
      <c r="G1005" s="31">
        <f t="shared" si="64"/>
        <v>0</v>
      </c>
      <c r="H1005" s="31" t="str">
        <f t="shared" si="67"/>
        <v xml:space="preserve"> </v>
      </c>
      <c r="I1005" s="92" t="s">
        <v>387</v>
      </c>
      <c r="J1005" s="31">
        <v>92701000</v>
      </c>
      <c r="M1005" s="31">
        <f t="shared" si="65"/>
        <v>0</v>
      </c>
    </row>
    <row r="1006" spans="6:13" x14ac:dyDescent="0.25">
      <c r="F1006" s="93" t="str">
        <f t="shared" si="66"/>
        <v/>
      </c>
      <c r="G1006" s="31">
        <f t="shared" si="64"/>
        <v>0</v>
      </c>
      <c r="H1006" s="31" t="str">
        <f t="shared" si="67"/>
        <v xml:space="preserve"> </v>
      </c>
      <c r="I1006" s="92" t="s">
        <v>387</v>
      </c>
      <c r="J1006" s="31">
        <v>92701000</v>
      </c>
      <c r="M1006" s="31">
        <f t="shared" si="65"/>
        <v>0</v>
      </c>
    </row>
    <row r="1007" spans="6:13" x14ac:dyDescent="0.25">
      <c r="F1007" s="93" t="str">
        <f t="shared" si="66"/>
        <v/>
      </c>
      <c r="G1007" s="31">
        <f t="shared" si="64"/>
        <v>0</v>
      </c>
      <c r="H1007" s="31" t="str">
        <f t="shared" si="67"/>
        <v xml:space="preserve"> </v>
      </c>
      <c r="I1007" s="92" t="s">
        <v>387</v>
      </c>
      <c r="J1007" s="31">
        <v>92701000</v>
      </c>
      <c r="M1007" s="31">
        <f t="shared" si="65"/>
        <v>0</v>
      </c>
    </row>
    <row r="1008" spans="6:13" x14ac:dyDescent="0.25">
      <c r="F1008" s="93" t="str">
        <f t="shared" si="66"/>
        <v/>
      </c>
      <c r="G1008" s="31">
        <f t="shared" si="64"/>
        <v>0</v>
      </c>
      <c r="H1008" s="31" t="str">
        <f t="shared" si="67"/>
        <v xml:space="preserve"> </v>
      </c>
      <c r="I1008" s="92" t="s">
        <v>387</v>
      </c>
      <c r="J1008" s="31">
        <v>92701000</v>
      </c>
      <c r="M1008" s="31">
        <f t="shared" si="65"/>
        <v>0</v>
      </c>
    </row>
    <row r="1009" spans="6:13" x14ac:dyDescent="0.25">
      <c r="F1009" s="93" t="str">
        <f t="shared" si="66"/>
        <v/>
      </c>
      <c r="G1009" s="31">
        <f t="shared" si="64"/>
        <v>0</v>
      </c>
      <c r="H1009" s="31" t="str">
        <f t="shared" si="67"/>
        <v xml:space="preserve"> </v>
      </c>
      <c r="I1009" s="92" t="s">
        <v>387</v>
      </c>
      <c r="J1009" s="31">
        <v>92701000</v>
      </c>
      <c r="M1009" s="31">
        <f t="shared" si="65"/>
        <v>0</v>
      </c>
    </row>
    <row r="1010" spans="6:13" x14ac:dyDescent="0.25">
      <c r="F1010" s="93" t="str">
        <f t="shared" si="66"/>
        <v/>
      </c>
      <c r="G1010" s="31">
        <f t="shared" si="64"/>
        <v>0</v>
      </c>
      <c r="H1010" s="31" t="str">
        <f t="shared" si="67"/>
        <v xml:space="preserve"> </v>
      </c>
      <c r="I1010" s="92" t="s">
        <v>387</v>
      </c>
      <c r="J1010" s="31">
        <v>92701000</v>
      </c>
      <c r="M1010" s="31">
        <f t="shared" si="65"/>
        <v>0</v>
      </c>
    </row>
    <row r="1011" spans="6:13" x14ac:dyDescent="0.25">
      <c r="F1011" s="93" t="str">
        <f t="shared" si="66"/>
        <v/>
      </c>
      <c r="G1011" s="31">
        <f t="shared" si="64"/>
        <v>0</v>
      </c>
      <c r="H1011" s="31" t="str">
        <f t="shared" si="67"/>
        <v xml:space="preserve"> </v>
      </c>
      <c r="I1011" s="92" t="s">
        <v>387</v>
      </c>
      <c r="J1011" s="31">
        <v>92701000</v>
      </c>
      <c r="M1011" s="31">
        <f t="shared" si="65"/>
        <v>0</v>
      </c>
    </row>
    <row r="1012" spans="6:13" x14ac:dyDescent="0.25">
      <c r="F1012" s="93" t="str">
        <f t="shared" si="66"/>
        <v/>
      </c>
      <c r="G1012" s="31">
        <f t="shared" si="64"/>
        <v>0</v>
      </c>
      <c r="H1012" s="31" t="str">
        <f t="shared" si="67"/>
        <v xml:space="preserve"> </v>
      </c>
      <c r="I1012" s="92" t="s">
        <v>387</v>
      </c>
      <c r="J1012" s="31">
        <v>92701000</v>
      </c>
      <c r="M1012" s="31">
        <f t="shared" si="65"/>
        <v>0</v>
      </c>
    </row>
    <row r="1013" spans="6:13" x14ac:dyDescent="0.25">
      <c r="F1013" s="93" t="str">
        <f t="shared" si="66"/>
        <v/>
      </c>
      <c r="G1013" s="31">
        <f t="shared" si="64"/>
        <v>0</v>
      </c>
      <c r="H1013" s="31" t="str">
        <f t="shared" si="67"/>
        <v xml:space="preserve"> </v>
      </c>
      <c r="I1013" s="92" t="s">
        <v>387</v>
      </c>
      <c r="J1013" s="31">
        <v>92701000</v>
      </c>
      <c r="M1013" s="31">
        <f t="shared" si="65"/>
        <v>0</v>
      </c>
    </row>
    <row r="1014" spans="6:13" x14ac:dyDescent="0.25">
      <c r="F1014" s="93" t="str">
        <f t="shared" si="66"/>
        <v/>
      </c>
      <c r="G1014" s="31">
        <f t="shared" si="64"/>
        <v>0</v>
      </c>
      <c r="H1014" s="31" t="str">
        <f t="shared" si="67"/>
        <v xml:space="preserve"> </v>
      </c>
      <c r="I1014" s="92" t="s">
        <v>387</v>
      </c>
      <c r="J1014" s="31">
        <v>92701000</v>
      </c>
      <c r="M1014" s="31">
        <f t="shared" si="65"/>
        <v>0</v>
      </c>
    </row>
    <row r="1015" spans="6:13" x14ac:dyDescent="0.25">
      <c r="F1015" s="93" t="str">
        <f t="shared" si="66"/>
        <v/>
      </c>
      <c r="G1015" s="31">
        <f t="shared" si="64"/>
        <v>0</v>
      </c>
      <c r="H1015" s="31" t="str">
        <f t="shared" si="67"/>
        <v xml:space="preserve"> </v>
      </c>
      <c r="I1015" s="92" t="s">
        <v>387</v>
      </c>
      <c r="J1015" s="31">
        <v>92701000</v>
      </c>
      <c r="M1015" s="31">
        <f t="shared" si="65"/>
        <v>0</v>
      </c>
    </row>
    <row r="1016" spans="6:13" x14ac:dyDescent="0.25">
      <c r="F1016" s="93" t="str">
        <f t="shared" si="66"/>
        <v/>
      </c>
      <c r="G1016" s="31">
        <f t="shared" si="64"/>
        <v>0</v>
      </c>
      <c r="H1016" s="31" t="str">
        <f t="shared" si="67"/>
        <v xml:space="preserve"> </v>
      </c>
      <c r="I1016" s="92" t="s">
        <v>387</v>
      </c>
      <c r="J1016" s="31">
        <v>92701000</v>
      </c>
      <c r="M1016" s="31">
        <f t="shared" si="65"/>
        <v>0</v>
      </c>
    </row>
    <row r="1017" spans="6:13" x14ac:dyDescent="0.25">
      <c r="F1017" s="93" t="str">
        <f t="shared" si="66"/>
        <v/>
      </c>
      <c r="G1017" s="31">
        <f t="shared" si="64"/>
        <v>0</v>
      </c>
      <c r="H1017" s="31" t="str">
        <f t="shared" si="67"/>
        <v xml:space="preserve"> </v>
      </c>
      <c r="I1017" s="92" t="s">
        <v>387</v>
      </c>
      <c r="J1017" s="31">
        <v>92701000</v>
      </c>
      <c r="M1017" s="31">
        <f t="shared" si="65"/>
        <v>0</v>
      </c>
    </row>
    <row r="1018" spans="6:13" x14ac:dyDescent="0.25">
      <c r="F1018" s="93" t="str">
        <f t="shared" si="66"/>
        <v/>
      </c>
      <c r="G1018" s="31">
        <f t="shared" si="64"/>
        <v>0</v>
      </c>
      <c r="H1018" s="31" t="str">
        <f t="shared" si="67"/>
        <v xml:space="preserve"> </v>
      </c>
      <c r="I1018" s="92" t="s">
        <v>387</v>
      </c>
      <c r="J1018" s="31">
        <v>92701000</v>
      </c>
      <c r="M1018" s="31">
        <f t="shared" si="65"/>
        <v>0</v>
      </c>
    </row>
    <row r="1019" spans="6:13" x14ac:dyDescent="0.25">
      <c r="F1019" s="93" t="str">
        <f t="shared" si="66"/>
        <v/>
      </c>
      <c r="G1019" s="31">
        <f t="shared" si="64"/>
        <v>0</v>
      </c>
      <c r="H1019" s="31" t="str">
        <f t="shared" si="67"/>
        <v xml:space="preserve"> </v>
      </c>
      <c r="I1019" s="92" t="s">
        <v>387</v>
      </c>
      <c r="J1019" s="31">
        <v>92701000</v>
      </c>
      <c r="M1019" s="31">
        <f t="shared" si="65"/>
        <v>0</v>
      </c>
    </row>
    <row r="1020" spans="6:13" x14ac:dyDescent="0.25">
      <c r="F1020" s="93" t="str">
        <f t="shared" si="66"/>
        <v/>
      </c>
      <c r="G1020" s="31">
        <f t="shared" si="64"/>
        <v>0</v>
      </c>
      <c r="H1020" s="31" t="str">
        <f t="shared" si="67"/>
        <v xml:space="preserve"> </v>
      </c>
      <c r="I1020" s="92" t="s">
        <v>387</v>
      </c>
      <c r="J1020" s="31">
        <v>92701000</v>
      </c>
      <c r="M1020" s="31">
        <f t="shared" si="65"/>
        <v>0</v>
      </c>
    </row>
    <row r="1021" spans="6:13" x14ac:dyDescent="0.25">
      <c r="F1021" s="93" t="str">
        <f t="shared" si="66"/>
        <v/>
      </c>
      <c r="G1021" s="31">
        <f t="shared" si="64"/>
        <v>0</v>
      </c>
      <c r="H1021" s="31" t="str">
        <f t="shared" si="67"/>
        <v xml:space="preserve"> </v>
      </c>
      <c r="I1021" s="92" t="s">
        <v>387</v>
      </c>
      <c r="J1021" s="31">
        <v>92701000</v>
      </c>
      <c r="M1021" s="31">
        <f t="shared" si="65"/>
        <v>0</v>
      </c>
    </row>
    <row r="1022" spans="6:13" x14ac:dyDescent="0.25">
      <c r="F1022" s="93" t="str">
        <f t="shared" si="66"/>
        <v/>
      </c>
      <c r="G1022" s="31">
        <f t="shared" si="64"/>
        <v>0</v>
      </c>
      <c r="H1022" s="31" t="str">
        <f t="shared" si="67"/>
        <v xml:space="preserve"> </v>
      </c>
      <c r="I1022" s="92" t="s">
        <v>387</v>
      </c>
      <c r="J1022" s="31">
        <v>92701000</v>
      </c>
      <c r="M1022" s="31">
        <f t="shared" si="65"/>
        <v>0</v>
      </c>
    </row>
    <row r="1023" spans="6:13" x14ac:dyDescent="0.25">
      <c r="F1023" s="93" t="str">
        <f t="shared" si="66"/>
        <v/>
      </c>
      <c r="G1023" s="31">
        <f t="shared" si="64"/>
        <v>0</v>
      </c>
      <c r="H1023" s="31" t="str">
        <f t="shared" si="67"/>
        <v xml:space="preserve"> </v>
      </c>
      <c r="I1023" s="92" t="s">
        <v>387</v>
      </c>
      <c r="J1023" s="31">
        <v>92701000</v>
      </c>
      <c r="M1023" s="31">
        <f t="shared" si="65"/>
        <v>0</v>
      </c>
    </row>
    <row r="1024" spans="6:13" x14ac:dyDescent="0.25">
      <c r="F1024" s="93" t="str">
        <f t="shared" si="66"/>
        <v/>
      </c>
      <c r="G1024" s="31">
        <f t="shared" si="64"/>
        <v>0</v>
      </c>
      <c r="H1024" s="31" t="str">
        <f t="shared" si="67"/>
        <v xml:space="preserve"> </v>
      </c>
      <c r="I1024" s="92" t="s">
        <v>387</v>
      </c>
      <c r="J1024" s="31">
        <v>92701000</v>
      </c>
      <c r="M1024" s="31">
        <f t="shared" si="65"/>
        <v>0</v>
      </c>
    </row>
    <row r="1025" spans="6:13" x14ac:dyDescent="0.25">
      <c r="F1025" s="93" t="str">
        <f t="shared" si="66"/>
        <v/>
      </c>
      <c r="G1025" s="31">
        <f t="shared" si="64"/>
        <v>0</v>
      </c>
      <c r="H1025" s="31" t="str">
        <f t="shared" si="67"/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3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3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3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3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3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3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3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3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3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3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3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3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3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3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3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3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3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3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3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3" t="str">
        <f t="shared" si="66"/>
        <v/>
      </c>
      <c r="G1045" s="31">
        <f t="shared" ref="G1045:G1108" si="68">B1045</f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3" t="str">
        <f t="shared" si="66"/>
        <v/>
      </c>
      <c r="G1046" s="31">
        <f t="shared" si="68"/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3" t="str">
        <f t="shared" si="66"/>
        <v/>
      </c>
      <c r="G1047" s="31">
        <f t="shared" si="68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3" t="str">
        <f t="shared" si="66"/>
        <v/>
      </c>
      <c r="G1048" s="31">
        <f t="shared" si="68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3" t="str">
        <f t="shared" si="66"/>
        <v/>
      </c>
      <c r="G1049" s="31">
        <f t="shared" si="68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3" t="str">
        <f t="shared" si="66"/>
        <v/>
      </c>
      <c r="G1050" s="31">
        <f t="shared" si="68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3" t="str">
        <f t="shared" si="66"/>
        <v/>
      </c>
      <c r="G1051" s="31">
        <f t="shared" si="68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3" t="str">
        <f t="shared" si="66"/>
        <v/>
      </c>
      <c r="G1052" s="31">
        <f t="shared" si="68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3" t="str">
        <f t="shared" si="66"/>
        <v/>
      </c>
      <c r="G1053" s="31">
        <f t="shared" si="68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3" t="str">
        <f t="shared" si="66"/>
        <v/>
      </c>
      <c r="G1054" s="31">
        <f t="shared" si="68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3" t="str">
        <f t="shared" si="66"/>
        <v/>
      </c>
      <c r="G1055" s="31">
        <f t="shared" si="68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3" t="str">
        <f t="shared" si="66"/>
        <v/>
      </c>
      <c r="G1056" s="31">
        <f t="shared" si="68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3" t="str">
        <f t="shared" si="66"/>
        <v/>
      </c>
      <c r="G1057" s="31">
        <f t="shared" si="68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3" t="str">
        <f t="shared" si="66"/>
        <v/>
      </c>
      <c r="G1058" s="31">
        <f t="shared" si="68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3" t="str">
        <f t="shared" si="66"/>
        <v/>
      </c>
      <c r="G1059" s="31">
        <f t="shared" si="68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3" t="str">
        <f t="shared" si="66"/>
        <v/>
      </c>
      <c r="G1060" s="31">
        <f t="shared" si="68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3" t="str">
        <f t="shared" si="66"/>
        <v/>
      </c>
      <c r="G1061" s="31">
        <f t="shared" si="68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3" t="str">
        <f t="shared" si="66"/>
        <v/>
      </c>
      <c r="G1062" s="31">
        <f t="shared" si="68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ref="M1062:M1125" si="69">E1062</f>
        <v>0</v>
      </c>
    </row>
    <row r="1063" spans="6:13" x14ac:dyDescent="0.25">
      <c r="F1063" s="93" t="str">
        <f t="shared" si="66"/>
        <v/>
      </c>
      <c r="G1063" s="31">
        <f t="shared" si="68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si="69"/>
        <v>0</v>
      </c>
    </row>
    <row r="1064" spans="6:13" x14ac:dyDescent="0.25">
      <c r="F1064" s="93" t="str">
        <f t="shared" si="66"/>
        <v/>
      </c>
      <c r="G1064" s="31">
        <f t="shared" si="68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9"/>
        <v>0</v>
      </c>
    </row>
    <row r="1065" spans="6:13" x14ac:dyDescent="0.25">
      <c r="F1065" s="93" t="str">
        <f t="shared" ref="F1065:F1128" si="70">TRIM(A1065)</f>
        <v/>
      </c>
      <c r="G1065" s="31">
        <f t="shared" si="68"/>
        <v>0</v>
      </c>
      <c r="H1065" s="31" t="str">
        <f t="shared" ref="H1065:H1128" si="71">CONCATENATE(TRIM(C1065)," ",D1065)</f>
        <v xml:space="preserve"> </v>
      </c>
      <c r="I1065" s="92" t="s">
        <v>387</v>
      </c>
      <c r="J1065" s="31">
        <v>92701000</v>
      </c>
      <c r="M1065" s="31">
        <f t="shared" si="69"/>
        <v>0</v>
      </c>
    </row>
    <row r="1066" spans="6:13" x14ac:dyDescent="0.25">
      <c r="F1066" s="93" t="str">
        <f t="shared" si="70"/>
        <v/>
      </c>
      <c r="G1066" s="31">
        <f t="shared" si="68"/>
        <v>0</v>
      </c>
      <c r="H1066" s="31" t="str">
        <f t="shared" si="71"/>
        <v xml:space="preserve"> </v>
      </c>
      <c r="I1066" s="92" t="s">
        <v>387</v>
      </c>
      <c r="J1066" s="31">
        <v>92701000</v>
      </c>
      <c r="M1066" s="31">
        <f t="shared" si="69"/>
        <v>0</v>
      </c>
    </row>
    <row r="1067" spans="6:13" x14ac:dyDescent="0.25">
      <c r="F1067" s="93" t="str">
        <f t="shared" si="70"/>
        <v/>
      </c>
      <c r="G1067" s="31">
        <f t="shared" si="68"/>
        <v>0</v>
      </c>
      <c r="H1067" s="31" t="str">
        <f t="shared" si="71"/>
        <v xml:space="preserve"> </v>
      </c>
      <c r="I1067" s="92" t="s">
        <v>387</v>
      </c>
      <c r="J1067" s="31">
        <v>92701000</v>
      </c>
      <c r="M1067" s="31">
        <f t="shared" si="69"/>
        <v>0</v>
      </c>
    </row>
    <row r="1068" spans="6:13" x14ac:dyDescent="0.25">
      <c r="F1068" s="93" t="str">
        <f t="shared" si="70"/>
        <v/>
      </c>
      <c r="G1068" s="31">
        <f t="shared" si="68"/>
        <v>0</v>
      </c>
      <c r="H1068" s="31" t="str">
        <f t="shared" si="71"/>
        <v xml:space="preserve"> </v>
      </c>
      <c r="I1068" s="92" t="s">
        <v>387</v>
      </c>
      <c r="J1068" s="31">
        <v>92701000</v>
      </c>
      <c r="M1068" s="31">
        <f t="shared" si="69"/>
        <v>0</v>
      </c>
    </row>
    <row r="1069" spans="6:13" x14ac:dyDescent="0.25">
      <c r="F1069" s="93" t="str">
        <f t="shared" si="70"/>
        <v/>
      </c>
      <c r="G1069" s="31">
        <f t="shared" si="68"/>
        <v>0</v>
      </c>
      <c r="H1069" s="31" t="str">
        <f t="shared" si="71"/>
        <v xml:space="preserve"> </v>
      </c>
      <c r="I1069" s="92" t="s">
        <v>387</v>
      </c>
      <c r="J1069" s="31">
        <v>92701000</v>
      </c>
      <c r="M1069" s="31">
        <f t="shared" si="69"/>
        <v>0</v>
      </c>
    </row>
    <row r="1070" spans="6:13" x14ac:dyDescent="0.25">
      <c r="F1070" s="93" t="str">
        <f t="shared" si="70"/>
        <v/>
      </c>
      <c r="G1070" s="31">
        <f t="shared" si="68"/>
        <v>0</v>
      </c>
      <c r="H1070" s="31" t="str">
        <f t="shared" si="71"/>
        <v xml:space="preserve"> </v>
      </c>
      <c r="I1070" s="92" t="s">
        <v>387</v>
      </c>
      <c r="J1070" s="31">
        <v>92701000</v>
      </c>
      <c r="M1070" s="31">
        <f t="shared" si="69"/>
        <v>0</v>
      </c>
    </row>
    <row r="1071" spans="6:13" x14ac:dyDescent="0.25">
      <c r="F1071" s="93" t="str">
        <f t="shared" si="70"/>
        <v/>
      </c>
      <c r="G1071" s="31">
        <f t="shared" si="68"/>
        <v>0</v>
      </c>
      <c r="H1071" s="31" t="str">
        <f t="shared" si="71"/>
        <v xml:space="preserve"> </v>
      </c>
      <c r="I1071" s="92" t="s">
        <v>387</v>
      </c>
      <c r="J1071" s="31">
        <v>92701000</v>
      </c>
      <c r="M1071" s="31">
        <f t="shared" si="69"/>
        <v>0</v>
      </c>
    </row>
    <row r="1072" spans="6:13" x14ac:dyDescent="0.25">
      <c r="F1072" s="93" t="str">
        <f t="shared" si="70"/>
        <v/>
      </c>
      <c r="G1072" s="31">
        <f t="shared" si="68"/>
        <v>0</v>
      </c>
      <c r="H1072" s="31" t="str">
        <f t="shared" si="71"/>
        <v xml:space="preserve"> </v>
      </c>
      <c r="I1072" s="92" t="s">
        <v>387</v>
      </c>
      <c r="J1072" s="31">
        <v>92701000</v>
      </c>
      <c r="M1072" s="31">
        <f t="shared" si="69"/>
        <v>0</v>
      </c>
    </row>
    <row r="1073" spans="6:13" x14ac:dyDescent="0.25">
      <c r="F1073" s="93" t="str">
        <f t="shared" si="70"/>
        <v/>
      </c>
      <c r="G1073" s="31">
        <f t="shared" si="68"/>
        <v>0</v>
      </c>
      <c r="H1073" s="31" t="str">
        <f t="shared" si="71"/>
        <v xml:space="preserve"> </v>
      </c>
      <c r="I1073" s="92" t="s">
        <v>387</v>
      </c>
      <c r="J1073" s="31">
        <v>92701000</v>
      </c>
      <c r="M1073" s="31">
        <f t="shared" si="69"/>
        <v>0</v>
      </c>
    </row>
    <row r="1074" spans="6:13" x14ac:dyDescent="0.25">
      <c r="F1074" s="93" t="str">
        <f t="shared" si="70"/>
        <v/>
      </c>
      <c r="G1074" s="31">
        <f t="shared" si="68"/>
        <v>0</v>
      </c>
      <c r="H1074" s="31" t="str">
        <f t="shared" si="71"/>
        <v xml:space="preserve"> </v>
      </c>
      <c r="I1074" s="92" t="s">
        <v>387</v>
      </c>
      <c r="J1074" s="31">
        <v>92701000</v>
      </c>
      <c r="M1074" s="31">
        <f t="shared" si="69"/>
        <v>0</v>
      </c>
    </row>
    <row r="1075" spans="6:13" x14ac:dyDescent="0.25">
      <c r="F1075" s="93" t="str">
        <f t="shared" si="70"/>
        <v/>
      </c>
      <c r="G1075" s="31">
        <f t="shared" si="68"/>
        <v>0</v>
      </c>
      <c r="H1075" s="31" t="str">
        <f t="shared" si="71"/>
        <v xml:space="preserve"> </v>
      </c>
      <c r="I1075" s="92" t="s">
        <v>387</v>
      </c>
      <c r="J1075" s="31">
        <v>92701000</v>
      </c>
      <c r="M1075" s="31">
        <f t="shared" si="69"/>
        <v>0</v>
      </c>
    </row>
    <row r="1076" spans="6:13" x14ac:dyDescent="0.25">
      <c r="F1076" s="93" t="str">
        <f t="shared" si="70"/>
        <v/>
      </c>
      <c r="G1076" s="31">
        <f t="shared" si="68"/>
        <v>0</v>
      </c>
      <c r="H1076" s="31" t="str">
        <f t="shared" si="71"/>
        <v xml:space="preserve"> </v>
      </c>
      <c r="I1076" s="92" t="s">
        <v>387</v>
      </c>
      <c r="J1076" s="31">
        <v>92701000</v>
      </c>
      <c r="M1076" s="31">
        <f t="shared" si="69"/>
        <v>0</v>
      </c>
    </row>
    <row r="1077" spans="6:13" x14ac:dyDescent="0.25">
      <c r="F1077" s="93" t="str">
        <f t="shared" si="70"/>
        <v/>
      </c>
      <c r="G1077" s="31">
        <f t="shared" si="68"/>
        <v>0</v>
      </c>
      <c r="H1077" s="31" t="str">
        <f t="shared" si="71"/>
        <v xml:space="preserve"> </v>
      </c>
      <c r="I1077" s="92" t="s">
        <v>387</v>
      </c>
      <c r="J1077" s="31">
        <v>92701000</v>
      </c>
      <c r="M1077" s="31">
        <f t="shared" si="69"/>
        <v>0</v>
      </c>
    </row>
    <row r="1078" spans="6:13" x14ac:dyDescent="0.25">
      <c r="F1078" s="93" t="str">
        <f t="shared" si="70"/>
        <v/>
      </c>
      <c r="G1078" s="31">
        <f t="shared" si="68"/>
        <v>0</v>
      </c>
      <c r="H1078" s="31" t="str">
        <f t="shared" si="71"/>
        <v xml:space="preserve"> </v>
      </c>
      <c r="I1078" s="92" t="s">
        <v>387</v>
      </c>
      <c r="J1078" s="31">
        <v>92701000</v>
      </c>
      <c r="M1078" s="31">
        <f t="shared" si="69"/>
        <v>0</v>
      </c>
    </row>
    <row r="1079" spans="6:13" x14ac:dyDescent="0.25">
      <c r="F1079" s="93" t="str">
        <f t="shared" si="70"/>
        <v/>
      </c>
      <c r="G1079" s="31">
        <f t="shared" si="68"/>
        <v>0</v>
      </c>
      <c r="H1079" s="31" t="str">
        <f t="shared" si="71"/>
        <v xml:space="preserve"> </v>
      </c>
      <c r="I1079" s="92" t="s">
        <v>387</v>
      </c>
      <c r="J1079" s="31">
        <v>92701000</v>
      </c>
      <c r="M1079" s="31">
        <f t="shared" si="69"/>
        <v>0</v>
      </c>
    </row>
    <row r="1080" spans="6:13" x14ac:dyDescent="0.25">
      <c r="F1080" s="93" t="str">
        <f t="shared" si="70"/>
        <v/>
      </c>
      <c r="G1080" s="31">
        <f t="shared" si="68"/>
        <v>0</v>
      </c>
      <c r="H1080" s="31" t="str">
        <f t="shared" si="71"/>
        <v xml:space="preserve"> </v>
      </c>
      <c r="I1080" s="92" t="s">
        <v>387</v>
      </c>
      <c r="J1080" s="31">
        <v>92701000</v>
      </c>
      <c r="M1080" s="31">
        <f t="shared" si="69"/>
        <v>0</v>
      </c>
    </row>
    <row r="1081" spans="6:13" x14ac:dyDescent="0.25">
      <c r="F1081" s="93" t="str">
        <f t="shared" si="70"/>
        <v/>
      </c>
      <c r="G1081" s="31">
        <f t="shared" si="68"/>
        <v>0</v>
      </c>
      <c r="H1081" s="31" t="str">
        <f t="shared" si="71"/>
        <v xml:space="preserve"> </v>
      </c>
      <c r="I1081" s="92" t="s">
        <v>387</v>
      </c>
      <c r="J1081" s="31">
        <v>92701000</v>
      </c>
      <c r="M1081" s="31">
        <f t="shared" si="69"/>
        <v>0</v>
      </c>
    </row>
    <row r="1082" spans="6:13" x14ac:dyDescent="0.25">
      <c r="F1082" s="93" t="str">
        <f t="shared" si="70"/>
        <v/>
      </c>
      <c r="G1082" s="31">
        <f t="shared" si="68"/>
        <v>0</v>
      </c>
      <c r="H1082" s="31" t="str">
        <f t="shared" si="71"/>
        <v xml:space="preserve"> </v>
      </c>
      <c r="I1082" s="92" t="s">
        <v>387</v>
      </c>
      <c r="J1082" s="31">
        <v>92701000</v>
      </c>
      <c r="M1082" s="31">
        <f t="shared" si="69"/>
        <v>0</v>
      </c>
    </row>
    <row r="1083" spans="6:13" x14ac:dyDescent="0.25">
      <c r="F1083" s="93" t="str">
        <f t="shared" si="70"/>
        <v/>
      </c>
      <c r="G1083" s="31">
        <f t="shared" si="68"/>
        <v>0</v>
      </c>
      <c r="H1083" s="31" t="str">
        <f t="shared" si="71"/>
        <v xml:space="preserve"> </v>
      </c>
      <c r="I1083" s="92" t="s">
        <v>387</v>
      </c>
      <c r="J1083" s="31">
        <v>92701000</v>
      </c>
      <c r="M1083" s="31">
        <f t="shared" si="69"/>
        <v>0</v>
      </c>
    </row>
    <row r="1084" spans="6:13" x14ac:dyDescent="0.25">
      <c r="F1084" s="93" t="str">
        <f t="shared" si="70"/>
        <v/>
      </c>
      <c r="G1084" s="31">
        <f t="shared" si="68"/>
        <v>0</v>
      </c>
      <c r="H1084" s="31" t="str">
        <f t="shared" si="71"/>
        <v xml:space="preserve"> </v>
      </c>
      <c r="I1084" s="92" t="s">
        <v>387</v>
      </c>
      <c r="J1084" s="31">
        <v>92701000</v>
      </c>
      <c r="M1084" s="31">
        <f t="shared" si="69"/>
        <v>0</v>
      </c>
    </row>
    <row r="1085" spans="6:13" x14ac:dyDescent="0.25">
      <c r="F1085" s="93" t="str">
        <f t="shared" si="70"/>
        <v/>
      </c>
      <c r="G1085" s="31">
        <f t="shared" si="68"/>
        <v>0</v>
      </c>
      <c r="H1085" s="31" t="str">
        <f t="shared" si="71"/>
        <v xml:space="preserve"> </v>
      </c>
      <c r="I1085" s="92" t="s">
        <v>387</v>
      </c>
      <c r="J1085" s="31">
        <v>92701000</v>
      </c>
      <c r="M1085" s="31">
        <f t="shared" si="69"/>
        <v>0</v>
      </c>
    </row>
    <row r="1086" spans="6:13" x14ac:dyDescent="0.25">
      <c r="F1086" s="93" t="str">
        <f t="shared" si="70"/>
        <v/>
      </c>
      <c r="G1086" s="31">
        <f t="shared" si="68"/>
        <v>0</v>
      </c>
      <c r="H1086" s="31" t="str">
        <f t="shared" si="71"/>
        <v xml:space="preserve"> </v>
      </c>
      <c r="I1086" s="92" t="s">
        <v>387</v>
      </c>
      <c r="J1086" s="31">
        <v>92701000</v>
      </c>
      <c r="M1086" s="31">
        <f t="shared" si="69"/>
        <v>0</v>
      </c>
    </row>
    <row r="1087" spans="6:13" x14ac:dyDescent="0.25">
      <c r="F1087" s="93" t="str">
        <f t="shared" si="70"/>
        <v/>
      </c>
      <c r="G1087" s="31">
        <f t="shared" si="68"/>
        <v>0</v>
      </c>
      <c r="H1087" s="31" t="str">
        <f t="shared" si="71"/>
        <v xml:space="preserve"> </v>
      </c>
      <c r="I1087" s="92" t="s">
        <v>387</v>
      </c>
      <c r="J1087" s="31">
        <v>92701000</v>
      </c>
      <c r="M1087" s="31">
        <f t="shared" si="69"/>
        <v>0</v>
      </c>
    </row>
    <row r="1088" spans="6:13" x14ac:dyDescent="0.25">
      <c r="F1088" s="93" t="str">
        <f t="shared" si="70"/>
        <v/>
      </c>
      <c r="G1088" s="31">
        <f t="shared" si="68"/>
        <v>0</v>
      </c>
      <c r="H1088" s="31" t="str">
        <f t="shared" si="71"/>
        <v xml:space="preserve"> </v>
      </c>
      <c r="I1088" s="92" t="s">
        <v>387</v>
      </c>
      <c r="J1088" s="31">
        <v>92701000</v>
      </c>
      <c r="M1088" s="31">
        <f t="shared" si="69"/>
        <v>0</v>
      </c>
    </row>
    <row r="1089" spans="6:13" x14ac:dyDescent="0.25">
      <c r="F1089" s="93" t="str">
        <f t="shared" si="70"/>
        <v/>
      </c>
      <c r="G1089" s="31">
        <f t="shared" si="68"/>
        <v>0</v>
      </c>
      <c r="H1089" s="31" t="str">
        <f t="shared" si="71"/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3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3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3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3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3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3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3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3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3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3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3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3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3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3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3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3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3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3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3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3" t="str">
        <f t="shared" si="70"/>
        <v/>
      </c>
      <c r="G1109" s="31">
        <f t="shared" ref="G1109:G1172" si="72">B1109</f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3" t="str">
        <f t="shared" si="70"/>
        <v/>
      </c>
      <c r="G1110" s="31">
        <f t="shared" si="72"/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3" t="str">
        <f t="shared" si="70"/>
        <v/>
      </c>
      <c r="G1111" s="31">
        <f t="shared" si="72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3" t="str">
        <f t="shared" si="70"/>
        <v/>
      </c>
      <c r="G1112" s="31">
        <f t="shared" si="72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3" t="str">
        <f t="shared" si="70"/>
        <v/>
      </c>
      <c r="G1113" s="31">
        <f t="shared" si="72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3" t="str">
        <f t="shared" si="70"/>
        <v/>
      </c>
      <c r="G1114" s="31">
        <f t="shared" si="72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3" t="str">
        <f t="shared" si="70"/>
        <v/>
      </c>
      <c r="G1115" s="31">
        <f t="shared" si="72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3" t="str">
        <f t="shared" si="70"/>
        <v/>
      </c>
      <c r="G1116" s="31">
        <f t="shared" si="72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3" t="str">
        <f t="shared" si="70"/>
        <v/>
      </c>
      <c r="G1117" s="31">
        <f t="shared" si="72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3" t="str">
        <f t="shared" si="70"/>
        <v/>
      </c>
      <c r="G1118" s="31">
        <f t="shared" si="72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3" t="str">
        <f t="shared" si="70"/>
        <v/>
      </c>
      <c r="G1119" s="31">
        <f t="shared" si="72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3" t="str">
        <f t="shared" si="70"/>
        <v/>
      </c>
      <c r="G1120" s="31">
        <f t="shared" si="72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3" t="str">
        <f t="shared" si="70"/>
        <v/>
      </c>
      <c r="G1121" s="31">
        <f t="shared" si="72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3" t="str">
        <f t="shared" si="70"/>
        <v/>
      </c>
      <c r="G1122" s="31">
        <f t="shared" si="72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3" t="str">
        <f t="shared" si="70"/>
        <v/>
      </c>
      <c r="G1123" s="31">
        <f t="shared" si="72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3" t="str">
        <f t="shared" si="70"/>
        <v/>
      </c>
      <c r="G1124" s="31">
        <f t="shared" si="72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3" t="str">
        <f t="shared" si="70"/>
        <v/>
      </c>
      <c r="G1125" s="31">
        <f t="shared" si="72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3" t="str">
        <f t="shared" si="70"/>
        <v/>
      </c>
      <c r="G1126" s="31">
        <f t="shared" si="72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ref="M1126:M1189" si="73">E1126</f>
        <v>0</v>
      </c>
    </row>
    <row r="1127" spans="6:13" x14ac:dyDescent="0.25">
      <c r="F1127" s="93" t="str">
        <f t="shared" si="70"/>
        <v/>
      </c>
      <c r="G1127" s="31">
        <f t="shared" si="72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si="73"/>
        <v>0</v>
      </c>
    </row>
    <row r="1128" spans="6:13" x14ac:dyDescent="0.25">
      <c r="F1128" s="93" t="str">
        <f t="shared" si="70"/>
        <v/>
      </c>
      <c r="G1128" s="31">
        <f t="shared" si="72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73"/>
        <v>0</v>
      </c>
    </row>
    <row r="1129" spans="6:13" x14ac:dyDescent="0.25">
      <c r="F1129" s="93" t="str">
        <f t="shared" ref="F1129:F1192" si="74">TRIM(A1129)</f>
        <v/>
      </c>
      <c r="G1129" s="31">
        <f t="shared" si="72"/>
        <v>0</v>
      </c>
      <c r="H1129" s="31" t="str">
        <f t="shared" ref="H1129:H1192" si="75">CONCATENATE(TRIM(C1129)," ",D1129)</f>
        <v xml:space="preserve"> </v>
      </c>
      <c r="I1129" s="92" t="s">
        <v>387</v>
      </c>
      <c r="J1129" s="31">
        <v>92701000</v>
      </c>
      <c r="M1129" s="31">
        <f t="shared" si="73"/>
        <v>0</v>
      </c>
    </row>
    <row r="1130" spans="6:13" x14ac:dyDescent="0.25">
      <c r="F1130" s="93" t="str">
        <f t="shared" si="74"/>
        <v/>
      </c>
      <c r="G1130" s="31">
        <f t="shared" si="72"/>
        <v>0</v>
      </c>
      <c r="H1130" s="31" t="str">
        <f t="shared" si="75"/>
        <v xml:space="preserve"> </v>
      </c>
      <c r="I1130" s="92" t="s">
        <v>387</v>
      </c>
      <c r="J1130" s="31">
        <v>92701000</v>
      </c>
      <c r="M1130" s="31">
        <f t="shared" si="73"/>
        <v>0</v>
      </c>
    </row>
    <row r="1131" spans="6:13" x14ac:dyDescent="0.25">
      <c r="F1131" s="93" t="str">
        <f t="shared" si="74"/>
        <v/>
      </c>
      <c r="G1131" s="31">
        <f t="shared" si="72"/>
        <v>0</v>
      </c>
      <c r="H1131" s="31" t="str">
        <f t="shared" si="75"/>
        <v xml:space="preserve"> </v>
      </c>
      <c r="I1131" s="92" t="s">
        <v>387</v>
      </c>
      <c r="J1131" s="31">
        <v>92701000</v>
      </c>
      <c r="M1131" s="31">
        <f t="shared" si="73"/>
        <v>0</v>
      </c>
    </row>
    <row r="1132" spans="6:13" x14ac:dyDescent="0.25">
      <c r="F1132" s="93" t="str">
        <f t="shared" si="74"/>
        <v/>
      </c>
      <c r="G1132" s="31">
        <f t="shared" si="72"/>
        <v>0</v>
      </c>
      <c r="H1132" s="31" t="str">
        <f t="shared" si="75"/>
        <v xml:space="preserve"> </v>
      </c>
      <c r="I1132" s="92" t="s">
        <v>387</v>
      </c>
      <c r="J1132" s="31">
        <v>92701000</v>
      </c>
      <c r="M1132" s="31">
        <f t="shared" si="73"/>
        <v>0</v>
      </c>
    </row>
    <row r="1133" spans="6:13" x14ac:dyDescent="0.25">
      <c r="F1133" s="93" t="str">
        <f t="shared" si="74"/>
        <v/>
      </c>
      <c r="G1133" s="31">
        <f t="shared" si="72"/>
        <v>0</v>
      </c>
      <c r="H1133" s="31" t="str">
        <f t="shared" si="75"/>
        <v xml:space="preserve"> </v>
      </c>
      <c r="I1133" s="92" t="s">
        <v>387</v>
      </c>
      <c r="J1133" s="31">
        <v>92701000</v>
      </c>
      <c r="M1133" s="31">
        <f t="shared" si="73"/>
        <v>0</v>
      </c>
    </row>
    <row r="1134" spans="6:13" x14ac:dyDescent="0.25">
      <c r="F1134" s="93" t="str">
        <f t="shared" si="74"/>
        <v/>
      </c>
      <c r="G1134" s="31">
        <f t="shared" si="72"/>
        <v>0</v>
      </c>
      <c r="H1134" s="31" t="str">
        <f t="shared" si="75"/>
        <v xml:space="preserve"> </v>
      </c>
      <c r="I1134" s="92" t="s">
        <v>387</v>
      </c>
      <c r="J1134" s="31">
        <v>92701000</v>
      </c>
      <c r="M1134" s="31">
        <f t="shared" si="73"/>
        <v>0</v>
      </c>
    </row>
    <row r="1135" spans="6:13" x14ac:dyDescent="0.25">
      <c r="F1135" s="93" t="str">
        <f t="shared" si="74"/>
        <v/>
      </c>
      <c r="G1135" s="31">
        <f t="shared" si="72"/>
        <v>0</v>
      </c>
      <c r="H1135" s="31" t="str">
        <f t="shared" si="75"/>
        <v xml:space="preserve"> </v>
      </c>
      <c r="I1135" s="92" t="s">
        <v>387</v>
      </c>
      <c r="J1135" s="31">
        <v>92701000</v>
      </c>
      <c r="M1135" s="31">
        <f t="shared" si="73"/>
        <v>0</v>
      </c>
    </row>
    <row r="1136" spans="6:13" x14ac:dyDescent="0.25">
      <c r="F1136" s="93" t="str">
        <f t="shared" si="74"/>
        <v/>
      </c>
      <c r="G1136" s="31">
        <f t="shared" si="72"/>
        <v>0</v>
      </c>
      <c r="H1136" s="31" t="str">
        <f t="shared" si="75"/>
        <v xml:space="preserve"> </v>
      </c>
      <c r="I1136" s="92" t="s">
        <v>387</v>
      </c>
      <c r="J1136" s="31">
        <v>92701000</v>
      </c>
      <c r="M1136" s="31">
        <f t="shared" si="73"/>
        <v>0</v>
      </c>
    </row>
    <row r="1137" spans="6:13" x14ac:dyDescent="0.25">
      <c r="F1137" s="93" t="str">
        <f t="shared" si="74"/>
        <v/>
      </c>
      <c r="G1137" s="31">
        <f t="shared" si="72"/>
        <v>0</v>
      </c>
      <c r="H1137" s="31" t="str">
        <f t="shared" si="75"/>
        <v xml:space="preserve"> </v>
      </c>
      <c r="I1137" s="92" t="s">
        <v>387</v>
      </c>
      <c r="J1137" s="31">
        <v>92701000</v>
      </c>
      <c r="M1137" s="31">
        <f t="shared" si="73"/>
        <v>0</v>
      </c>
    </row>
    <row r="1138" spans="6:13" x14ac:dyDescent="0.25">
      <c r="F1138" s="93" t="str">
        <f t="shared" si="74"/>
        <v/>
      </c>
      <c r="G1138" s="31">
        <f t="shared" si="72"/>
        <v>0</v>
      </c>
      <c r="H1138" s="31" t="str">
        <f t="shared" si="75"/>
        <v xml:space="preserve"> </v>
      </c>
      <c r="I1138" s="92" t="s">
        <v>387</v>
      </c>
      <c r="J1138" s="31">
        <v>92701000</v>
      </c>
      <c r="M1138" s="31">
        <f t="shared" si="73"/>
        <v>0</v>
      </c>
    </row>
    <row r="1139" spans="6:13" x14ac:dyDescent="0.25">
      <c r="F1139" s="93" t="str">
        <f t="shared" si="74"/>
        <v/>
      </c>
      <c r="G1139" s="31">
        <f t="shared" si="72"/>
        <v>0</v>
      </c>
      <c r="H1139" s="31" t="str">
        <f t="shared" si="75"/>
        <v xml:space="preserve"> </v>
      </c>
      <c r="I1139" s="92" t="s">
        <v>387</v>
      </c>
      <c r="J1139" s="31">
        <v>92701000</v>
      </c>
      <c r="M1139" s="31">
        <f t="shared" si="73"/>
        <v>0</v>
      </c>
    </row>
    <row r="1140" spans="6:13" x14ac:dyDescent="0.25">
      <c r="F1140" s="93" t="str">
        <f t="shared" si="74"/>
        <v/>
      </c>
      <c r="G1140" s="31">
        <f t="shared" si="72"/>
        <v>0</v>
      </c>
      <c r="H1140" s="31" t="str">
        <f t="shared" si="75"/>
        <v xml:space="preserve"> </v>
      </c>
      <c r="I1140" s="92" t="s">
        <v>387</v>
      </c>
      <c r="J1140" s="31">
        <v>92701000</v>
      </c>
      <c r="M1140" s="31">
        <f t="shared" si="73"/>
        <v>0</v>
      </c>
    </row>
    <row r="1141" spans="6:13" x14ac:dyDescent="0.25">
      <c r="F1141" s="93" t="str">
        <f t="shared" si="74"/>
        <v/>
      </c>
      <c r="G1141" s="31">
        <f t="shared" si="72"/>
        <v>0</v>
      </c>
      <c r="H1141" s="31" t="str">
        <f t="shared" si="75"/>
        <v xml:space="preserve"> </v>
      </c>
      <c r="I1141" s="92" t="s">
        <v>387</v>
      </c>
      <c r="J1141" s="31">
        <v>92701000</v>
      </c>
      <c r="M1141" s="31">
        <f t="shared" si="73"/>
        <v>0</v>
      </c>
    </row>
    <row r="1142" spans="6:13" x14ac:dyDescent="0.25">
      <c r="F1142" s="93" t="str">
        <f t="shared" si="74"/>
        <v/>
      </c>
      <c r="G1142" s="31">
        <f t="shared" si="72"/>
        <v>0</v>
      </c>
      <c r="H1142" s="31" t="str">
        <f t="shared" si="75"/>
        <v xml:space="preserve"> </v>
      </c>
      <c r="I1142" s="92" t="s">
        <v>387</v>
      </c>
      <c r="J1142" s="31">
        <v>92701000</v>
      </c>
      <c r="M1142" s="31">
        <f t="shared" si="73"/>
        <v>0</v>
      </c>
    </row>
    <row r="1143" spans="6:13" x14ac:dyDescent="0.25">
      <c r="F1143" s="93" t="str">
        <f t="shared" si="74"/>
        <v/>
      </c>
      <c r="G1143" s="31">
        <f t="shared" si="72"/>
        <v>0</v>
      </c>
      <c r="H1143" s="31" t="str">
        <f t="shared" si="75"/>
        <v xml:space="preserve"> </v>
      </c>
      <c r="I1143" s="92" t="s">
        <v>387</v>
      </c>
      <c r="J1143" s="31">
        <v>92701000</v>
      </c>
      <c r="M1143" s="31">
        <f t="shared" si="73"/>
        <v>0</v>
      </c>
    </row>
    <row r="1144" spans="6:13" x14ac:dyDescent="0.25">
      <c r="F1144" s="93" t="str">
        <f t="shared" si="74"/>
        <v/>
      </c>
      <c r="G1144" s="31">
        <f t="shared" si="72"/>
        <v>0</v>
      </c>
      <c r="H1144" s="31" t="str">
        <f t="shared" si="75"/>
        <v xml:space="preserve"> </v>
      </c>
      <c r="I1144" s="92" t="s">
        <v>387</v>
      </c>
      <c r="J1144" s="31">
        <v>92701000</v>
      </c>
      <c r="M1144" s="31">
        <f t="shared" si="73"/>
        <v>0</v>
      </c>
    </row>
    <row r="1145" spans="6:13" x14ac:dyDescent="0.25">
      <c r="F1145" s="93" t="str">
        <f t="shared" si="74"/>
        <v/>
      </c>
      <c r="G1145" s="31">
        <f t="shared" si="72"/>
        <v>0</v>
      </c>
      <c r="H1145" s="31" t="str">
        <f t="shared" si="75"/>
        <v xml:space="preserve"> </v>
      </c>
      <c r="I1145" s="92" t="s">
        <v>387</v>
      </c>
      <c r="J1145" s="31">
        <v>92701000</v>
      </c>
      <c r="M1145" s="31">
        <f t="shared" si="73"/>
        <v>0</v>
      </c>
    </row>
    <row r="1146" spans="6:13" x14ac:dyDescent="0.25">
      <c r="F1146" s="93" t="str">
        <f t="shared" si="74"/>
        <v/>
      </c>
      <c r="G1146" s="31">
        <f t="shared" si="72"/>
        <v>0</v>
      </c>
      <c r="H1146" s="31" t="str">
        <f t="shared" si="75"/>
        <v xml:space="preserve"> </v>
      </c>
      <c r="I1146" s="92" t="s">
        <v>387</v>
      </c>
      <c r="J1146" s="31">
        <v>92701000</v>
      </c>
      <c r="M1146" s="31">
        <f t="shared" si="73"/>
        <v>0</v>
      </c>
    </row>
    <row r="1147" spans="6:13" x14ac:dyDescent="0.25">
      <c r="F1147" s="93" t="str">
        <f t="shared" si="74"/>
        <v/>
      </c>
      <c r="G1147" s="31">
        <f t="shared" si="72"/>
        <v>0</v>
      </c>
      <c r="H1147" s="31" t="str">
        <f t="shared" si="75"/>
        <v xml:space="preserve"> </v>
      </c>
      <c r="I1147" s="92" t="s">
        <v>387</v>
      </c>
      <c r="J1147" s="31">
        <v>92701000</v>
      </c>
      <c r="M1147" s="31">
        <f t="shared" si="73"/>
        <v>0</v>
      </c>
    </row>
    <row r="1148" spans="6:13" x14ac:dyDescent="0.25">
      <c r="F1148" s="93" t="str">
        <f t="shared" si="74"/>
        <v/>
      </c>
      <c r="G1148" s="31">
        <f t="shared" si="72"/>
        <v>0</v>
      </c>
      <c r="H1148" s="31" t="str">
        <f t="shared" si="75"/>
        <v xml:space="preserve"> </v>
      </c>
      <c r="I1148" s="92" t="s">
        <v>387</v>
      </c>
      <c r="J1148" s="31">
        <v>92701000</v>
      </c>
      <c r="M1148" s="31">
        <f t="shared" si="73"/>
        <v>0</v>
      </c>
    </row>
    <row r="1149" spans="6:13" x14ac:dyDescent="0.25">
      <c r="F1149" s="93" t="str">
        <f t="shared" si="74"/>
        <v/>
      </c>
      <c r="G1149" s="31">
        <f t="shared" si="72"/>
        <v>0</v>
      </c>
      <c r="H1149" s="31" t="str">
        <f t="shared" si="75"/>
        <v xml:space="preserve"> </v>
      </c>
      <c r="I1149" s="92" t="s">
        <v>387</v>
      </c>
      <c r="J1149" s="31">
        <v>92701000</v>
      </c>
      <c r="M1149" s="31">
        <f t="shared" si="73"/>
        <v>0</v>
      </c>
    </row>
    <row r="1150" spans="6:13" x14ac:dyDescent="0.25">
      <c r="F1150" s="93" t="str">
        <f t="shared" si="74"/>
        <v/>
      </c>
      <c r="G1150" s="31">
        <f t="shared" si="72"/>
        <v>0</v>
      </c>
      <c r="H1150" s="31" t="str">
        <f t="shared" si="75"/>
        <v xml:space="preserve"> </v>
      </c>
      <c r="I1150" s="92" t="s">
        <v>387</v>
      </c>
      <c r="J1150" s="31">
        <v>92701000</v>
      </c>
      <c r="M1150" s="31">
        <f t="shared" si="73"/>
        <v>0</v>
      </c>
    </row>
    <row r="1151" spans="6:13" x14ac:dyDescent="0.25">
      <c r="F1151" s="93" t="str">
        <f t="shared" si="74"/>
        <v/>
      </c>
      <c r="G1151" s="31">
        <f t="shared" si="72"/>
        <v>0</v>
      </c>
      <c r="H1151" s="31" t="str">
        <f t="shared" si="75"/>
        <v xml:space="preserve"> </v>
      </c>
      <c r="I1151" s="92" t="s">
        <v>387</v>
      </c>
      <c r="J1151" s="31">
        <v>92701000</v>
      </c>
      <c r="M1151" s="31">
        <f t="shared" si="73"/>
        <v>0</v>
      </c>
    </row>
    <row r="1152" spans="6:13" x14ac:dyDescent="0.25">
      <c r="F1152" s="93" t="str">
        <f t="shared" si="74"/>
        <v/>
      </c>
      <c r="G1152" s="31">
        <f t="shared" si="72"/>
        <v>0</v>
      </c>
      <c r="H1152" s="31" t="str">
        <f t="shared" si="75"/>
        <v xml:space="preserve"> </v>
      </c>
      <c r="I1152" s="92" t="s">
        <v>387</v>
      </c>
      <c r="J1152" s="31">
        <v>92701000</v>
      </c>
      <c r="M1152" s="31">
        <f t="shared" si="73"/>
        <v>0</v>
      </c>
    </row>
    <row r="1153" spans="6:13" x14ac:dyDescent="0.25">
      <c r="F1153" s="93" t="str">
        <f t="shared" si="74"/>
        <v/>
      </c>
      <c r="G1153" s="31">
        <f t="shared" si="72"/>
        <v>0</v>
      </c>
      <c r="H1153" s="31" t="str">
        <f t="shared" si="75"/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3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3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3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3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3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3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3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3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3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3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3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3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3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3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3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3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3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3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3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3" t="str">
        <f t="shared" si="74"/>
        <v/>
      </c>
      <c r="G1173" s="31">
        <f t="shared" ref="G1173:G1236" si="76">B1173</f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3" t="str">
        <f t="shared" si="74"/>
        <v/>
      </c>
      <c r="G1174" s="31">
        <f t="shared" si="76"/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3" t="str">
        <f t="shared" si="74"/>
        <v/>
      </c>
      <c r="G1175" s="31">
        <f t="shared" si="76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3" t="str">
        <f t="shared" si="74"/>
        <v/>
      </c>
      <c r="G1176" s="31">
        <f t="shared" si="76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3" t="str">
        <f t="shared" si="74"/>
        <v/>
      </c>
      <c r="G1177" s="31">
        <f t="shared" si="76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3" t="str">
        <f t="shared" si="74"/>
        <v/>
      </c>
      <c r="G1178" s="31">
        <f t="shared" si="76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3" t="str">
        <f t="shared" si="74"/>
        <v/>
      </c>
      <c r="G1179" s="31">
        <f t="shared" si="76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3" t="str">
        <f t="shared" si="74"/>
        <v/>
      </c>
      <c r="G1180" s="31">
        <f t="shared" si="76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3" t="str">
        <f t="shared" si="74"/>
        <v/>
      </c>
      <c r="G1181" s="31">
        <f t="shared" si="76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3" t="str">
        <f t="shared" si="74"/>
        <v/>
      </c>
      <c r="G1182" s="31">
        <f t="shared" si="76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3" t="str">
        <f t="shared" si="74"/>
        <v/>
      </c>
      <c r="G1183" s="31">
        <f t="shared" si="76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3" t="str">
        <f t="shared" si="74"/>
        <v/>
      </c>
      <c r="G1184" s="31">
        <f t="shared" si="76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3" t="str">
        <f t="shared" si="74"/>
        <v/>
      </c>
      <c r="G1185" s="31">
        <f t="shared" si="76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3" t="str">
        <f t="shared" si="74"/>
        <v/>
      </c>
      <c r="G1186" s="31">
        <f t="shared" si="76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3" t="str">
        <f t="shared" si="74"/>
        <v/>
      </c>
      <c r="G1187" s="31">
        <f t="shared" si="76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3" t="str">
        <f t="shared" si="74"/>
        <v/>
      </c>
      <c r="G1188" s="31">
        <f t="shared" si="76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3" t="str">
        <f t="shared" si="74"/>
        <v/>
      </c>
      <c r="G1189" s="31">
        <f t="shared" si="76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3" t="str">
        <f t="shared" si="74"/>
        <v/>
      </c>
      <c r="G1190" s="31">
        <f t="shared" si="76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ref="M1190:M1253" si="77">E1190</f>
        <v>0</v>
      </c>
    </row>
    <row r="1191" spans="6:13" x14ac:dyDescent="0.25">
      <c r="F1191" s="93" t="str">
        <f t="shared" si="74"/>
        <v/>
      </c>
      <c r="G1191" s="31">
        <f t="shared" si="76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si="77"/>
        <v>0</v>
      </c>
    </row>
    <row r="1192" spans="6:13" x14ac:dyDescent="0.25">
      <c r="F1192" s="93" t="str">
        <f t="shared" si="74"/>
        <v/>
      </c>
      <c r="G1192" s="31">
        <f t="shared" si="76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7"/>
        <v>0</v>
      </c>
    </row>
    <row r="1193" spans="6:13" x14ac:dyDescent="0.25">
      <c r="F1193" s="93" t="str">
        <f t="shared" ref="F1193:F1256" si="78">TRIM(A1193)</f>
        <v/>
      </c>
      <c r="G1193" s="31">
        <f t="shared" si="76"/>
        <v>0</v>
      </c>
      <c r="H1193" s="31" t="str">
        <f t="shared" ref="H1193:H1256" si="79">CONCATENATE(TRIM(C1193)," ",D1193)</f>
        <v xml:space="preserve"> </v>
      </c>
      <c r="I1193" s="92" t="s">
        <v>387</v>
      </c>
      <c r="J1193" s="31">
        <v>92701000</v>
      </c>
      <c r="M1193" s="31">
        <f t="shared" si="77"/>
        <v>0</v>
      </c>
    </row>
    <row r="1194" spans="6:13" x14ac:dyDescent="0.25">
      <c r="F1194" s="93" t="str">
        <f t="shared" si="78"/>
        <v/>
      </c>
      <c r="G1194" s="31">
        <f t="shared" si="76"/>
        <v>0</v>
      </c>
      <c r="H1194" s="31" t="str">
        <f t="shared" si="79"/>
        <v xml:space="preserve"> </v>
      </c>
      <c r="I1194" s="92" t="s">
        <v>387</v>
      </c>
      <c r="J1194" s="31">
        <v>92701000</v>
      </c>
      <c r="M1194" s="31">
        <f t="shared" si="77"/>
        <v>0</v>
      </c>
    </row>
    <row r="1195" spans="6:13" x14ac:dyDescent="0.25">
      <c r="F1195" s="93" t="str">
        <f t="shared" si="78"/>
        <v/>
      </c>
      <c r="G1195" s="31">
        <f t="shared" si="76"/>
        <v>0</v>
      </c>
      <c r="H1195" s="31" t="str">
        <f t="shared" si="79"/>
        <v xml:space="preserve"> </v>
      </c>
      <c r="I1195" s="92" t="s">
        <v>387</v>
      </c>
      <c r="J1195" s="31">
        <v>92701000</v>
      </c>
      <c r="M1195" s="31">
        <f t="shared" si="77"/>
        <v>0</v>
      </c>
    </row>
    <row r="1196" spans="6:13" x14ac:dyDescent="0.25">
      <c r="F1196" s="93" t="str">
        <f t="shared" si="78"/>
        <v/>
      </c>
      <c r="G1196" s="31">
        <f t="shared" si="76"/>
        <v>0</v>
      </c>
      <c r="H1196" s="31" t="str">
        <f t="shared" si="79"/>
        <v xml:space="preserve"> </v>
      </c>
      <c r="I1196" s="92" t="s">
        <v>387</v>
      </c>
      <c r="J1196" s="31">
        <v>92701000</v>
      </c>
      <c r="M1196" s="31">
        <f t="shared" si="77"/>
        <v>0</v>
      </c>
    </row>
    <row r="1197" spans="6:13" x14ac:dyDescent="0.25">
      <c r="F1197" s="93" t="str">
        <f t="shared" si="78"/>
        <v/>
      </c>
      <c r="G1197" s="31">
        <f t="shared" si="76"/>
        <v>0</v>
      </c>
      <c r="H1197" s="31" t="str">
        <f t="shared" si="79"/>
        <v xml:space="preserve"> </v>
      </c>
      <c r="I1197" s="92" t="s">
        <v>387</v>
      </c>
      <c r="J1197" s="31">
        <v>92701000</v>
      </c>
      <c r="M1197" s="31">
        <f t="shared" si="77"/>
        <v>0</v>
      </c>
    </row>
    <row r="1198" spans="6:13" x14ac:dyDescent="0.25">
      <c r="F1198" s="93" t="str">
        <f t="shared" si="78"/>
        <v/>
      </c>
      <c r="G1198" s="31">
        <f t="shared" si="76"/>
        <v>0</v>
      </c>
      <c r="H1198" s="31" t="str">
        <f t="shared" si="79"/>
        <v xml:space="preserve"> </v>
      </c>
      <c r="I1198" s="92" t="s">
        <v>387</v>
      </c>
      <c r="J1198" s="31">
        <v>92701000</v>
      </c>
      <c r="M1198" s="31">
        <f t="shared" si="77"/>
        <v>0</v>
      </c>
    </row>
    <row r="1199" spans="6:13" x14ac:dyDescent="0.25">
      <c r="F1199" s="93" t="str">
        <f t="shared" si="78"/>
        <v/>
      </c>
      <c r="G1199" s="31">
        <f t="shared" si="76"/>
        <v>0</v>
      </c>
      <c r="H1199" s="31" t="str">
        <f t="shared" si="79"/>
        <v xml:space="preserve"> </v>
      </c>
      <c r="I1199" s="92" t="s">
        <v>387</v>
      </c>
      <c r="J1199" s="31">
        <v>92701000</v>
      </c>
      <c r="M1199" s="31">
        <f t="shared" si="77"/>
        <v>0</v>
      </c>
    </row>
    <row r="1200" spans="6:13" x14ac:dyDescent="0.25">
      <c r="F1200" s="93" t="str">
        <f t="shared" si="78"/>
        <v/>
      </c>
      <c r="G1200" s="31">
        <f t="shared" si="76"/>
        <v>0</v>
      </c>
      <c r="H1200" s="31" t="str">
        <f t="shared" si="79"/>
        <v xml:space="preserve"> </v>
      </c>
      <c r="I1200" s="92" t="s">
        <v>387</v>
      </c>
      <c r="J1200" s="31">
        <v>92701000</v>
      </c>
      <c r="M1200" s="31">
        <f t="shared" si="77"/>
        <v>0</v>
      </c>
    </row>
    <row r="1201" spans="6:13" x14ac:dyDescent="0.25">
      <c r="F1201" s="93" t="str">
        <f t="shared" si="78"/>
        <v/>
      </c>
      <c r="G1201" s="31">
        <f t="shared" si="76"/>
        <v>0</v>
      </c>
      <c r="H1201" s="31" t="str">
        <f t="shared" si="79"/>
        <v xml:space="preserve"> </v>
      </c>
      <c r="I1201" s="92" t="s">
        <v>387</v>
      </c>
      <c r="J1201" s="31">
        <v>92701000</v>
      </c>
      <c r="M1201" s="31">
        <f t="shared" si="77"/>
        <v>0</v>
      </c>
    </row>
    <row r="1202" spans="6:13" x14ac:dyDescent="0.25">
      <c r="F1202" s="93" t="str">
        <f t="shared" si="78"/>
        <v/>
      </c>
      <c r="G1202" s="31">
        <f t="shared" si="76"/>
        <v>0</v>
      </c>
      <c r="H1202" s="31" t="str">
        <f t="shared" si="79"/>
        <v xml:space="preserve"> </v>
      </c>
      <c r="I1202" s="92" t="s">
        <v>387</v>
      </c>
      <c r="J1202" s="31">
        <v>92701000</v>
      </c>
      <c r="M1202" s="31">
        <f t="shared" si="77"/>
        <v>0</v>
      </c>
    </row>
    <row r="1203" spans="6:13" x14ac:dyDescent="0.25">
      <c r="F1203" s="93" t="str">
        <f t="shared" si="78"/>
        <v/>
      </c>
      <c r="G1203" s="31">
        <f t="shared" si="76"/>
        <v>0</v>
      </c>
      <c r="H1203" s="31" t="str">
        <f t="shared" si="79"/>
        <v xml:space="preserve"> </v>
      </c>
      <c r="I1203" s="92" t="s">
        <v>387</v>
      </c>
      <c r="J1203" s="31">
        <v>92701000</v>
      </c>
      <c r="M1203" s="31">
        <f t="shared" si="77"/>
        <v>0</v>
      </c>
    </row>
    <row r="1204" spans="6:13" x14ac:dyDescent="0.25">
      <c r="F1204" s="93" t="str">
        <f t="shared" si="78"/>
        <v/>
      </c>
      <c r="G1204" s="31">
        <f t="shared" si="76"/>
        <v>0</v>
      </c>
      <c r="H1204" s="31" t="str">
        <f t="shared" si="79"/>
        <v xml:space="preserve"> </v>
      </c>
      <c r="I1204" s="92" t="s">
        <v>387</v>
      </c>
      <c r="J1204" s="31">
        <v>92701000</v>
      </c>
      <c r="M1204" s="31">
        <f t="shared" si="77"/>
        <v>0</v>
      </c>
    </row>
    <row r="1205" spans="6:13" x14ac:dyDescent="0.25">
      <c r="F1205" s="93" t="str">
        <f t="shared" si="78"/>
        <v/>
      </c>
      <c r="G1205" s="31">
        <f t="shared" si="76"/>
        <v>0</v>
      </c>
      <c r="H1205" s="31" t="str">
        <f t="shared" si="79"/>
        <v xml:space="preserve"> </v>
      </c>
      <c r="I1205" s="92" t="s">
        <v>387</v>
      </c>
      <c r="J1205" s="31">
        <v>92701000</v>
      </c>
      <c r="M1205" s="31">
        <f t="shared" si="77"/>
        <v>0</v>
      </c>
    </row>
    <row r="1206" spans="6:13" x14ac:dyDescent="0.25">
      <c r="F1206" s="93" t="str">
        <f t="shared" si="78"/>
        <v/>
      </c>
      <c r="G1206" s="31">
        <f t="shared" si="76"/>
        <v>0</v>
      </c>
      <c r="H1206" s="31" t="str">
        <f t="shared" si="79"/>
        <v xml:space="preserve"> </v>
      </c>
      <c r="I1206" s="92" t="s">
        <v>387</v>
      </c>
      <c r="J1206" s="31">
        <v>92701000</v>
      </c>
      <c r="M1206" s="31">
        <f t="shared" si="77"/>
        <v>0</v>
      </c>
    </row>
    <row r="1207" spans="6:13" x14ac:dyDescent="0.25">
      <c r="F1207" s="93" t="str">
        <f t="shared" si="78"/>
        <v/>
      </c>
      <c r="G1207" s="31">
        <f t="shared" si="76"/>
        <v>0</v>
      </c>
      <c r="H1207" s="31" t="str">
        <f t="shared" si="79"/>
        <v xml:space="preserve"> </v>
      </c>
      <c r="I1207" s="92" t="s">
        <v>387</v>
      </c>
      <c r="J1207" s="31">
        <v>92701000</v>
      </c>
      <c r="M1207" s="31">
        <f t="shared" si="77"/>
        <v>0</v>
      </c>
    </row>
    <row r="1208" spans="6:13" x14ac:dyDescent="0.25">
      <c r="F1208" s="93" t="str">
        <f t="shared" si="78"/>
        <v/>
      </c>
      <c r="G1208" s="31">
        <f t="shared" si="76"/>
        <v>0</v>
      </c>
      <c r="H1208" s="31" t="str">
        <f t="shared" si="79"/>
        <v xml:space="preserve"> </v>
      </c>
      <c r="I1208" s="92" t="s">
        <v>387</v>
      </c>
      <c r="J1208" s="31">
        <v>92701000</v>
      </c>
      <c r="M1208" s="31">
        <f t="shared" si="77"/>
        <v>0</v>
      </c>
    </row>
    <row r="1209" spans="6:13" x14ac:dyDescent="0.25">
      <c r="F1209" s="93" t="str">
        <f t="shared" si="78"/>
        <v/>
      </c>
      <c r="G1209" s="31">
        <f t="shared" si="76"/>
        <v>0</v>
      </c>
      <c r="H1209" s="31" t="str">
        <f t="shared" si="79"/>
        <v xml:space="preserve"> </v>
      </c>
      <c r="I1209" s="92" t="s">
        <v>387</v>
      </c>
      <c r="J1209" s="31">
        <v>92701000</v>
      </c>
      <c r="M1209" s="31">
        <f t="shared" si="77"/>
        <v>0</v>
      </c>
    </row>
    <row r="1210" spans="6:13" x14ac:dyDescent="0.25">
      <c r="F1210" s="93" t="str">
        <f t="shared" si="78"/>
        <v/>
      </c>
      <c r="G1210" s="31">
        <f t="shared" si="76"/>
        <v>0</v>
      </c>
      <c r="H1210" s="31" t="str">
        <f t="shared" si="79"/>
        <v xml:space="preserve"> </v>
      </c>
      <c r="I1210" s="92" t="s">
        <v>387</v>
      </c>
      <c r="J1210" s="31">
        <v>92701000</v>
      </c>
      <c r="M1210" s="31">
        <f t="shared" si="77"/>
        <v>0</v>
      </c>
    </row>
    <row r="1211" spans="6:13" x14ac:dyDescent="0.25">
      <c r="F1211" s="93" t="str">
        <f t="shared" si="78"/>
        <v/>
      </c>
      <c r="G1211" s="31">
        <f t="shared" si="76"/>
        <v>0</v>
      </c>
      <c r="H1211" s="31" t="str">
        <f t="shared" si="79"/>
        <v xml:space="preserve"> </v>
      </c>
      <c r="I1211" s="92" t="s">
        <v>387</v>
      </c>
      <c r="J1211" s="31">
        <v>92701000</v>
      </c>
      <c r="M1211" s="31">
        <f t="shared" si="77"/>
        <v>0</v>
      </c>
    </row>
    <row r="1212" spans="6:13" x14ac:dyDescent="0.25">
      <c r="F1212" s="93" t="str">
        <f t="shared" si="78"/>
        <v/>
      </c>
      <c r="G1212" s="31">
        <f t="shared" si="76"/>
        <v>0</v>
      </c>
      <c r="H1212" s="31" t="str">
        <f t="shared" si="79"/>
        <v xml:space="preserve"> </v>
      </c>
      <c r="I1212" s="92" t="s">
        <v>387</v>
      </c>
      <c r="J1212" s="31">
        <v>92701000</v>
      </c>
      <c r="M1212" s="31">
        <f t="shared" si="77"/>
        <v>0</v>
      </c>
    </row>
    <row r="1213" spans="6:13" x14ac:dyDescent="0.25">
      <c r="F1213" s="93" t="str">
        <f t="shared" si="78"/>
        <v/>
      </c>
      <c r="G1213" s="31">
        <f t="shared" si="76"/>
        <v>0</v>
      </c>
      <c r="H1213" s="31" t="str">
        <f t="shared" si="79"/>
        <v xml:space="preserve"> </v>
      </c>
      <c r="I1213" s="92" t="s">
        <v>387</v>
      </c>
      <c r="J1213" s="31">
        <v>92701000</v>
      </c>
      <c r="M1213" s="31">
        <f t="shared" si="77"/>
        <v>0</v>
      </c>
    </row>
    <row r="1214" spans="6:13" x14ac:dyDescent="0.25">
      <c r="F1214" s="93" t="str">
        <f t="shared" si="78"/>
        <v/>
      </c>
      <c r="G1214" s="31">
        <f t="shared" si="76"/>
        <v>0</v>
      </c>
      <c r="H1214" s="31" t="str">
        <f t="shared" si="79"/>
        <v xml:space="preserve"> </v>
      </c>
      <c r="I1214" s="92" t="s">
        <v>387</v>
      </c>
      <c r="J1214" s="31">
        <v>92701000</v>
      </c>
      <c r="M1214" s="31">
        <f t="shared" si="77"/>
        <v>0</v>
      </c>
    </row>
    <row r="1215" spans="6:13" x14ac:dyDescent="0.25">
      <c r="F1215" s="93" t="str">
        <f t="shared" si="78"/>
        <v/>
      </c>
      <c r="G1215" s="31">
        <f t="shared" si="76"/>
        <v>0</v>
      </c>
      <c r="H1215" s="31" t="str">
        <f t="shared" si="79"/>
        <v xml:space="preserve"> </v>
      </c>
      <c r="I1215" s="92" t="s">
        <v>387</v>
      </c>
      <c r="J1215" s="31">
        <v>92701000</v>
      </c>
      <c r="M1215" s="31">
        <f t="shared" si="77"/>
        <v>0</v>
      </c>
    </row>
    <row r="1216" spans="6:13" x14ac:dyDescent="0.25">
      <c r="F1216" s="93" t="str">
        <f t="shared" si="78"/>
        <v/>
      </c>
      <c r="G1216" s="31">
        <f t="shared" si="76"/>
        <v>0</v>
      </c>
      <c r="H1216" s="31" t="str">
        <f t="shared" si="79"/>
        <v xml:space="preserve"> </v>
      </c>
      <c r="I1216" s="92" t="s">
        <v>387</v>
      </c>
      <c r="J1216" s="31">
        <v>92701000</v>
      </c>
      <c r="M1216" s="31">
        <f t="shared" si="77"/>
        <v>0</v>
      </c>
    </row>
    <row r="1217" spans="6:13" x14ac:dyDescent="0.25">
      <c r="F1217" s="93" t="str">
        <f t="shared" si="78"/>
        <v/>
      </c>
      <c r="G1217" s="31">
        <f t="shared" si="76"/>
        <v>0</v>
      </c>
      <c r="H1217" s="31" t="str">
        <f t="shared" si="79"/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3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3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3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3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3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3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3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3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3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3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3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3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3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3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3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3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3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3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3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3" t="str">
        <f t="shared" si="78"/>
        <v/>
      </c>
      <c r="G1237" s="31">
        <f t="shared" ref="G1237:G1271" si="80">B1237</f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3" t="str">
        <f t="shared" si="78"/>
        <v/>
      </c>
      <c r="G1238" s="31">
        <f t="shared" si="80"/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3" t="str">
        <f t="shared" si="78"/>
        <v/>
      </c>
      <c r="G1239" s="31">
        <f t="shared" si="80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3" t="str">
        <f t="shared" si="78"/>
        <v/>
      </c>
      <c r="G1240" s="31">
        <f t="shared" si="80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3" t="str">
        <f t="shared" si="78"/>
        <v/>
      </c>
      <c r="G1241" s="31">
        <f t="shared" si="80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3" t="str">
        <f t="shared" si="78"/>
        <v/>
      </c>
      <c r="G1242" s="31">
        <f t="shared" si="80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3" t="str">
        <f t="shared" si="78"/>
        <v/>
      </c>
      <c r="G1243" s="31">
        <f t="shared" si="80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3" t="str">
        <f t="shared" si="78"/>
        <v/>
      </c>
      <c r="G1244" s="31">
        <f t="shared" si="80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3" t="str">
        <f t="shared" si="78"/>
        <v/>
      </c>
      <c r="G1245" s="31">
        <f t="shared" si="80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3" t="str">
        <f t="shared" si="78"/>
        <v/>
      </c>
      <c r="G1246" s="31">
        <f t="shared" si="80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3" t="str">
        <f t="shared" si="78"/>
        <v/>
      </c>
      <c r="G1247" s="31">
        <f t="shared" si="80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3" t="str">
        <f t="shared" si="78"/>
        <v/>
      </c>
      <c r="G1248" s="31">
        <f t="shared" si="80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3" t="str">
        <f t="shared" si="78"/>
        <v/>
      </c>
      <c r="G1249" s="31">
        <f t="shared" si="80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3" t="str">
        <f t="shared" si="78"/>
        <v/>
      </c>
      <c r="G1250" s="31">
        <f t="shared" si="80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3" t="str">
        <f t="shared" si="78"/>
        <v/>
      </c>
      <c r="G1251" s="31">
        <f t="shared" si="80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3" t="str">
        <f t="shared" si="78"/>
        <v/>
      </c>
      <c r="G1252" s="31">
        <f t="shared" si="80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3" t="str">
        <f t="shared" si="78"/>
        <v/>
      </c>
      <c r="G1253" s="31">
        <f t="shared" si="80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3" t="str">
        <f t="shared" si="78"/>
        <v/>
      </c>
      <c r="G1254" s="31">
        <f t="shared" si="80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ref="M1254:M1271" si="81">E1254</f>
        <v>0</v>
      </c>
    </row>
    <row r="1255" spans="6:13" x14ac:dyDescent="0.25">
      <c r="F1255" s="93" t="str">
        <f t="shared" si="78"/>
        <v/>
      </c>
      <c r="G1255" s="31">
        <f t="shared" si="80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si="81"/>
        <v>0</v>
      </c>
    </row>
    <row r="1256" spans="6:13" x14ac:dyDescent="0.25">
      <c r="F1256" s="93" t="str">
        <f t="shared" si="78"/>
        <v/>
      </c>
      <c r="G1256" s="31">
        <f t="shared" si="80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81"/>
        <v>0</v>
      </c>
    </row>
    <row r="1257" spans="6:13" x14ac:dyDescent="0.25">
      <c r="F1257" s="93" t="str">
        <f t="shared" ref="F1257:F1271" si="82">TRIM(A1257)</f>
        <v/>
      </c>
      <c r="G1257" s="31">
        <f t="shared" si="80"/>
        <v>0</v>
      </c>
      <c r="H1257" s="31" t="str">
        <f t="shared" ref="H1257:H1282" si="83">CONCATENATE(TRIM(C1257)," ",D1257)</f>
        <v xml:space="preserve"> </v>
      </c>
      <c r="I1257" s="92" t="s">
        <v>387</v>
      </c>
      <c r="J1257" s="31">
        <v>92701000</v>
      </c>
      <c r="M1257" s="31">
        <f t="shared" si="81"/>
        <v>0</v>
      </c>
    </row>
    <row r="1258" spans="6:13" x14ac:dyDescent="0.25">
      <c r="F1258" s="93" t="str">
        <f t="shared" si="82"/>
        <v/>
      </c>
      <c r="G1258" s="31">
        <f t="shared" si="80"/>
        <v>0</v>
      </c>
      <c r="H1258" s="31" t="str">
        <f t="shared" si="83"/>
        <v xml:space="preserve"> </v>
      </c>
      <c r="I1258" s="92" t="s">
        <v>387</v>
      </c>
      <c r="J1258" s="31">
        <v>92701000</v>
      </c>
      <c r="M1258" s="31">
        <f t="shared" si="81"/>
        <v>0</v>
      </c>
    </row>
    <row r="1259" spans="6:13" x14ac:dyDescent="0.25">
      <c r="F1259" s="93" t="str">
        <f t="shared" si="82"/>
        <v/>
      </c>
      <c r="G1259" s="31">
        <f t="shared" si="80"/>
        <v>0</v>
      </c>
      <c r="H1259" s="31" t="str">
        <f t="shared" si="83"/>
        <v xml:space="preserve"> </v>
      </c>
      <c r="I1259" s="92" t="s">
        <v>387</v>
      </c>
      <c r="J1259" s="31">
        <v>92701000</v>
      </c>
      <c r="M1259" s="31">
        <f t="shared" si="81"/>
        <v>0</v>
      </c>
    </row>
    <row r="1260" spans="6:13" x14ac:dyDescent="0.25">
      <c r="F1260" s="93" t="str">
        <f t="shared" si="82"/>
        <v/>
      </c>
      <c r="G1260" s="31">
        <f t="shared" si="80"/>
        <v>0</v>
      </c>
      <c r="H1260" s="31" t="str">
        <f t="shared" si="83"/>
        <v xml:space="preserve"> </v>
      </c>
      <c r="I1260" s="92" t="s">
        <v>387</v>
      </c>
      <c r="J1260" s="31">
        <v>92701000</v>
      </c>
      <c r="M1260" s="31">
        <f t="shared" si="81"/>
        <v>0</v>
      </c>
    </row>
    <row r="1261" spans="6:13" x14ac:dyDescent="0.25">
      <c r="F1261" s="93" t="str">
        <f t="shared" si="82"/>
        <v/>
      </c>
      <c r="G1261" s="31">
        <f t="shared" si="80"/>
        <v>0</v>
      </c>
      <c r="H1261" s="31" t="str">
        <f t="shared" si="83"/>
        <v xml:space="preserve"> </v>
      </c>
      <c r="I1261" s="92" t="s">
        <v>387</v>
      </c>
      <c r="J1261" s="31">
        <v>92701000</v>
      </c>
      <c r="M1261" s="31">
        <f t="shared" si="81"/>
        <v>0</v>
      </c>
    </row>
    <row r="1262" spans="6:13" x14ac:dyDescent="0.25">
      <c r="F1262" s="93" t="str">
        <f t="shared" si="82"/>
        <v/>
      </c>
      <c r="G1262" s="31">
        <f t="shared" si="80"/>
        <v>0</v>
      </c>
      <c r="H1262" s="31" t="str">
        <f t="shared" si="83"/>
        <v xml:space="preserve"> </v>
      </c>
      <c r="I1262" s="92" t="s">
        <v>387</v>
      </c>
      <c r="J1262" s="31">
        <v>92701000</v>
      </c>
      <c r="M1262" s="31">
        <f t="shared" si="81"/>
        <v>0</v>
      </c>
    </row>
    <row r="1263" spans="6:13" x14ac:dyDescent="0.25">
      <c r="F1263" s="93" t="str">
        <f t="shared" si="82"/>
        <v/>
      </c>
      <c r="G1263" s="31">
        <f t="shared" si="80"/>
        <v>0</v>
      </c>
      <c r="H1263" s="31" t="str">
        <f t="shared" si="83"/>
        <v xml:space="preserve"> </v>
      </c>
      <c r="I1263" s="92" t="s">
        <v>387</v>
      </c>
      <c r="J1263" s="31">
        <v>92701000</v>
      </c>
      <c r="M1263" s="31">
        <f t="shared" si="81"/>
        <v>0</v>
      </c>
    </row>
    <row r="1264" spans="6:13" x14ac:dyDescent="0.25">
      <c r="F1264" s="93" t="str">
        <f t="shared" si="82"/>
        <v/>
      </c>
      <c r="G1264" s="31">
        <f t="shared" si="80"/>
        <v>0</v>
      </c>
      <c r="H1264" s="31" t="str">
        <f t="shared" si="83"/>
        <v xml:space="preserve"> </v>
      </c>
      <c r="I1264" s="92" t="s">
        <v>387</v>
      </c>
      <c r="J1264" s="31">
        <v>92701000</v>
      </c>
      <c r="M1264" s="31">
        <f t="shared" si="81"/>
        <v>0</v>
      </c>
    </row>
    <row r="1265" spans="6:13" x14ac:dyDescent="0.25">
      <c r="F1265" s="93" t="str">
        <f t="shared" si="82"/>
        <v/>
      </c>
      <c r="G1265" s="31">
        <f t="shared" si="80"/>
        <v>0</v>
      </c>
      <c r="H1265" s="31" t="str">
        <f t="shared" si="83"/>
        <v xml:space="preserve"> </v>
      </c>
      <c r="I1265" s="92" t="s">
        <v>387</v>
      </c>
      <c r="J1265" s="31">
        <v>92701000</v>
      </c>
      <c r="M1265" s="31">
        <f t="shared" si="81"/>
        <v>0</v>
      </c>
    </row>
    <row r="1266" spans="6:13" x14ac:dyDescent="0.25">
      <c r="F1266" s="93" t="str">
        <f t="shared" si="82"/>
        <v/>
      </c>
      <c r="G1266" s="31">
        <f t="shared" si="80"/>
        <v>0</v>
      </c>
      <c r="H1266" s="31" t="str">
        <f t="shared" si="83"/>
        <v xml:space="preserve"> </v>
      </c>
      <c r="I1266" s="92" t="s">
        <v>387</v>
      </c>
      <c r="J1266" s="31">
        <v>92701000</v>
      </c>
      <c r="M1266" s="31">
        <f t="shared" si="81"/>
        <v>0</v>
      </c>
    </row>
    <row r="1267" spans="6:13" x14ac:dyDescent="0.25">
      <c r="F1267" s="93" t="str">
        <f t="shared" si="82"/>
        <v/>
      </c>
      <c r="G1267" s="31">
        <f t="shared" si="80"/>
        <v>0</v>
      </c>
      <c r="H1267" s="31" t="str">
        <f t="shared" si="83"/>
        <v xml:space="preserve"> </v>
      </c>
      <c r="I1267" s="92" t="s">
        <v>387</v>
      </c>
      <c r="J1267" s="31">
        <v>92701000</v>
      </c>
      <c r="M1267" s="31">
        <f t="shared" si="81"/>
        <v>0</v>
      </c>
    </row>
    <row r="1268" spans="6:13" x14ac:dyDescent="0.25">
      <c r="F1268" s="93" t="str">
        <f t="shared" si="82"/>
        <v/>
      </c>
      <c r="G1268" s="31">
        <f t="shared" si="80"/>
        <v>0</v>
      </c>
      <c r="H1268" s="31" t="str">
        <f t="shared" si="83"/>
        <v xml:space="preserve"> </v>
      </c>
      <c r="I1268" s="92" t="s">
        <v>387</v>
      </c>
      <c r="J1268" s="31">
        <v>92701000</v>
      </c>
      <c r="M1268" s="31">
        <f t="shared" si="81"/>
        <v>0</v>
      </c>
    </row>
    <row r="1269" spans="6:13" x14ac:dyDescent="0.25">
      <c r="F1269" s="93" t="str">
        <f t="shared" si="82"/>
        <v/>
      </c>
      <c r="G1269" s="31">
        <f t="shared" si="80"/>
        <v>0</v>
      </c>
      <c r="H1269" s="31" t="str">
        <f t="shared" si="83"/>
        <v xml:space="preserve"> </v>
      </c>
      <c r="I1269" s="92" t="s">
        <v>387</v>
      </c>
      <c r="J1269" s="31">
        <v>92701000</v>
      </c>
      <c r="M1269" s="31">
        <f t="shared" si="81"/>
        <v>0</v>
      </c>
    </row>
    <row r="1270" spans="6:13" x14ac:dyDescent="0.25">
      <c r="F1270" s="93" t="str">
        <f t="shared" si="82"/>
        <v/>
      </c>
      <c r="G1270" s="31">
        <f t="shared" si="80"/>
        <v>0</v>
      </c>
      <c r="H1270" s="31" t="str">
        <f t="shared" si="83"/>
        <v xml:space="preserve"> </v>
      </c>
      <c r="I1270" s="92" t="s">
        <v>387</v>
      </c>
      <c r="J1270" s="31">
        <v>92701000</v>
      </c>
      <c r="M1270" s="31">
        <f t="shared" si="81"/>
        <v>0</v>
      </c>
    </row>
    <row r="1271" spans="6:13" x14ac:dyDescent="0.25">
      <c r="F1271" s="93" t="str">
        <f t="shared" si="82"/>
        <v/>
      </c>
      <c r="G1271" s="31">
        <f t="shared" si="80"/>
        <v>0</v>
      </c>
      <c r="H1271" s="31" t="str">
        <f t="shared" si="83"/>
        <v xml:space="preserve"> </v>
      </c>
      <c r="I1271" s="92" t="s">
        <v>387</v>
      </c>
      <c r="J1271" s="31">
        <v>92701000</v>
      </c>
      <c r="M1271" s="31">
        <f t="shared" si="81"/>
        <v>0</v>
      </c>
    </row>
    <row r="1272" spans="6:13" x14ac:dyDescent="0.25">
      <c r="G1272" s="31">
        <f t="shared" ref="G1272:G1282" si="84">B1272</f>
        <v>0</v>
      </c>
      <c r="H1272" s="31" t="str">
        <f t="shared" si="83"/>
        <v xml:space="preserve"> </v>
      </c>
      <c r="I1272" s="92" t="s">
        <v>387</v>
      </c>
      <c r="J1272" s="31">
        <v>92701000</v>
      </c>
    </row>
    <row r="1273" spans="6:13" x14ac:dyDescent="0.25">
      <c r="G1273" s="31">
        <f t="shared" si="84"/>
        <v>0</v>
      </c>
      <c r="H1273" s="31" t="str">
        <f t="shared" si="83"/>
        <v xml:space="preserve"> </v>
      </c>
      <c r="I1273" s="92" t="s">
        <v>387</v>
      </c>
      <c r="J1273" s="31">
        <v>92701000</v>
      </c>
    </row>
    <row r="1274" spans="6:13" x14ac:dyDescent="0.25">
      <c r="G1274" s="31">
        <f t="shared" si="84"/>
        <v>0</v>
      </c>
      <c r="H1274" s="31" t="str">
        <f t="shared" si="83"/>
        <v xml:space="preserve"> </v>
      </c>
      <c r="I1274" s="92" t="s">
        <v>387</v>
      </c>
      <c r="J1274" s="31">
        <v>92701000</v>
      </c>
    </row>
    <row r="1275" spans="6:13" x14ac:dyDescent="0.25">
      <c r="G1275" s="31">
        <f t="shared" si="84"/>
        <v>0</v>
      </c>
      <c r="H1275" s="31" t="str">
        <f t="shared" si="83"/>
        <v xml:space="preserve"> </v>
      </c>
      <c r="I1275" s="92" t="s">
        <v>387</v>
      </c>
      <c r="J1275" s="31">
        <v>92701000</v>
      </c>
    </row>
    <row r="1276" spans="6:13" x14ac:dyDescent="0.25">
      <c r="G1276" s="31">
        <f t="shared" si="84"/>
        <v>0</v>
      </c>
      <c r="H1276" s="31" t="str">
        <f t="shared" si="83"/>
        <v xml:space="preserve"> </v>
      </c>
      <c r="I1276" s="92" t="s">
        <v>387</v>
      </c>
      <c r="J1276" s="31">
        <v>92701000</v>
      </c>
    </row>
    <row r="1277" spans="6:13" x14ac:dyDescent="0.25">
      <c r="G1277" s="31">
        <f t="shared" si="84"/>
        <v>0</v>
      </c>
      <c r="H1277" s="31" t="str">
        <f t="shared" si="83"/>
        <v xml:space="preserve"> </v>
      </c>
      <c r="I1277" s="92" t="s">
        <v>387</v>
      </c>
      <c r="J1277" s="31">
        <v>92701000</v>
      </c>
    </row>
    <row r="1278" spans="6:13" x14ac:dyDescent="0.25">
      <c r="G1278" s="31">
        <f t="shared" si="84"/>
        <v>0</v>
      </c>
      <c r="H1278" s="31" t="str">
        <f t="shared" si="83"/>
        <v xml:space="preserve"> </v>
      </c>
      <c r="I1278" s="92" t="s">
        <v>387</v>
      </c>
      <c r="J1278" s="31">
        <v>92701000</v>
      </c>
    </row>
    <row r="1279" spans="6:13" x14ac:dyDescent="0.25">
      <c r="G1279" s="31">
        <f t="shared" si="84"/>
        <v>0</v>
      </c>
      <c r="H1279" s="31" t="str">
        <f t="shared" si="83"/>
        <v xml:space="preserve"> </v>
      </c>
      <c r="I1279" s="92" t="s">
        <v>387</v>
      </c>
      <c r="J1279" s="31">
        <v>92701000</v>
      </c>
    </row>
    <row r="1280" spans="6:13" x14ac:dyDescent="0.25">
      <c r="G1280" s="31">
        <f t="shared" si="84"/>
        <v>0</v>
      </c>
      <c r="H1280" s="31" t="str">
        <f t="shared" si="83"/>
        <v xml:space="preserve"> </v>
      </c>
      <c r="I1280" s="92" t="s">
        <v>387</v>
      </c>
      <c r="J1280" s="31">
        <v>92701000</v>
      </c>
    </row>
    <row r="1281" spans="7:10" x14ac:dyDescent="0.25">
      <c r="G1281" s="31">
        <f t="shared" si="84"/>
        <v>0</v>
      </c>
      <c r="H1281" s="31" t="str">
        <f t="shared" si="83"/>
        <v xml:space="preserve"> </v>
      </c>
      <c r="I1281" s="92" t="s">
        <v>387</v>
      </c>
      <c r="J1281" s="31">
        <v>92701000</v>
      </c>
    </row>
    <row r="1282" spans="7:10" x14ac:dyDescent="0.25">
      <c r="G1282" s="31">
        <f t="shared" si="84"/>
        <v>0</v>
      </c>
      <c r="H1282" s="31" t="str">
        <f t="shared" si="83"/>
        <v xml:space="preserve"> </v>
      </c>
      <c r="I1282" s="92" t="s">
        <v>387</v>
      </c>
      <c r="J1282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7"/>
  <sheetViews>
    <sheetView workbookViewId="0">
      <pane ySplit="6" topLeftCell="A7" activePane="bottomLeft" state="frozen"/>
      <selection activeCell="A2" sqref="A2"/>
      <selection pane="bottomLeft" activeCell="A8" sqref="A8:XFD25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1657032924_03234643927010001100__29.03.2023.TXT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5330.56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4" t="s">
        <v>397</v>
      </c>
      <c r="B7" s="85" t="s">
        <v>398</v>
      </c>
      <c r="C7" s="85" t="s">
        <v>430</v>
      </c>
      <c r="D7" s="95" t="s">
        <v>387</v>
      </c>
      <c r="E7" s="85">
        <v>92701000</v>
      </c>
      <c r="F7" s="85"/>
      <c r="G7" s="85"/>
      <c r="H7" s="85">
        <v>5330.56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 t="str">
        <f>"ИНН "&amp;INN&amp;", БИК "&amp;BIC&amp;", Р/С "&amp;PersonalAcc</f>
        <v>ИНН 1657032924, БИК 019205400, Р/С 03234643927010001100</v>
      </c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 t="str">
        <f>"ИНН "&amp;INN&amp;", БИК "&amp;BIC&amp;", Р/С "&amp;PersonalAcc</f>
        <v>ИНН 1657032924, БИК 019205400, Р/С 03234643927010001100</v>
      </c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 t="str">
        <f>"ИНН "&amp;INN&amp;", БИК "&amp;BIC&amp;", Р/С "&amp;PersonalAcc</f>
        <v>ИНН 1657032924, БИК 019205400, Р/С 03234643927010001100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 t="str">
        <f>"ИНН "&amp;INN&amp;", БИК "&amp;BIC&amp;", Р/С "&amp;PersonalAcc</f>
        <v>ИНН 1657032924, БИК 019205400, Р/С 03234643927010001100</v>
      </c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 t="str">
        <f>"ИНН "&amp;INN&amp;", БИК "&amp;BIC&amp;", Р/С "&amp;PersonalAcc</f>
        <v>ИНН 1657032924, БИК 019205400, Р/С 03234643927010001100</v>
      </c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 t="str">
        <f>"ИНН "&amp;INN&amp;", БИК "&amp;BIC&amp;", Р/С "&amp;PersonalAcc</f>
        <v>ИНН 1657032924, БИК 019205400, Р/С 03234643927010001100</v>
      </c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1" t="s">
        <v>95</v>
      </c>
      <c r="B27" s="111"/>
      <c r="C27" s="111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98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4"/>
      <c r="X2" s="98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100"/>
    </row>
    <row r="3" spans="1:46" s="13" customFormat="1" ht="12.75" customHeight="1" x14ac:dyDescent="0.2">
      <c r="A3" s="98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4"/>
      <c r="X3" s="101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100"/>
    </row>
    <row r="4" spans="1:46" s="13" customFormat="1" ht="6" customHeight="1" x14ac:dyDescent="0.2">
      <c r="A4" s="98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4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28"/>
      <c r="P5" s="28"/>
      <c r="Q5" s="28"/>
      <c r="R5" s="28"/>
      <c r="S5" s="28"/>
      <c r="T5" s="28"/>
      <c r="U5" s="28"/>
      <c r="V5" s="28"/>
      <c r="W5" s="15"/>
      <c r="X5" s="14"/>
      <c r="Y5" s="105"/>
      <c r="Z5" s="105"/>
      <c r="AA5" s="105"/>
      <c r="AB5" s="105"/>
      <c r="AC5" s="105"/>
      <c r="AD5" s="105"/>
      <c r="AE5" s="105"/>
      <c r="AF5" s="105"/>
      <c r="AG5" s="105"/>
      <c r="AH5" s="105"/>
      <c r="AI5" s="105"/>
      <c r="AJ5" s="105"/>
      <c r="AK5" s="105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28"/>
      <c r="P6" s="28"/>
      <c r="Q6" s="28"/>
      <c r="R6" s="28"/>
      <c r="S6" s="28"/>
      <c r="T6" s="28"/>
      <c r="U6" s="28"/>
      <c r="V6" s="28"/>
      <c r="W6" s="15"/>
      <c r="X6" s="14"/>
      <c r="Y6" s="105"/>
      <c r="Z6" s="105"/>
      <c r="AA6" s="105"/>
      <c r="AB6" s="105"/>
      <c r="AC6" s="105"/>
      <c r="AD6" s="105"/>
      <c r="AE6" s="105"/>
      <c r="AF6" s="105"/>
      <c r="AG6" s="105"/>
      <c r="AH6" s="105"/>
      <c r="AI6" s="105"/>
      <c r="AJ6" s="105"/>
      <c r="AK6" s="105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2"/>
      <c r="P7" s="12"/>
      <c r="Q7" s="12"/>
      <c r="R7" s="12"/>
      <c r="S7" s="12"/>
      <c r="T7" s="12"/>
      <c r="U7" s="12"/>
      <c r="V7" s="12"/>
      <c r="W7" s="15"/>
      <c r="X7" s="14"/>
      <c r="Y7" s="105"/>
      <c r="Z7" s="105"/>
      <c r="AA7" s="105"/>
      <c r="AB7" s="105"/>
      <c r="AC7" s="105"/>
      <c r="AD7" s="105"/>
      <c r="AE7" s="105"/>
      <c r="AF7" s="105"/>
      <c r="AG7" s="105"/>
      <c r="AH7" s="105"/>
      <c r="AI7" s="105"/>
      <c r="AJ7" s="105"/>
      <c r="AK7" s="105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2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2"/>
      <c r="P8" s="12"/>
      <c r="Q8" s="12"/>
      <c r="R8" s="12"/>
      <c r="S8" s="12"/>
      <c r="T8" s="12"/>
      <c r="U8" s="12"/>
      <c r="V8" s="12"/>
      <c r="W8" s="15"/>
      <c r="X8" s="14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2"/>
      <c r="P9" s="12"/>
      <c r="Q9" s="12"/>
      <c r="R9" s="12"/>
      <c r="S9" s="12"/>
      <c r="T9" s="12"/>
      <c r="U9" s="12"/>
      <c r="V9" s="12"/>
      <c r="W9" s="15"/>
      <c r="X9" s="14"/>
      <c r="Y9" s="105"/>
      <c r="Z9" s="105"/>
      <c r="AA9" s="105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7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7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7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7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7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7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7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7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7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7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7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7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9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9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8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9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9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8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108"/>
      <c r="N19" s="109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9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8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108"/>
      <c r="N20" s="109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9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98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100"/>
      <c r="X23" s="98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99"/>
      <c r="AP23" s="99"/>
      <c r="AQ23" s="99"/>
      <c r="AR23" s="99"/>
      <c r="AS23" s="99"/>
      <c r="AT23" s="100"/>
    </row>
    <row r="24" spans="1:46" s="13" customFormat="1" ht="12.75" customHeight="1" x14ac:dyDescent="0.2">
      <c r="A24" s="101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100"/>
      <c r="X24" s="101"/>
      <c r="Y24" s="99"/>
      <c r="Z24" s="99"/>
      <c r="AA24" s="99"/>
      <c r="AB24" s="99"/>
      <c r="AC24" s="99"/>
      <c r="AD24" s="99"/>
      <c r="AE24" s="99"/>
      <c r="AF24" s="99"/>
      <c r="AG24" s="99"/>
      <c r="AH24" s="99"/>
      <c r="AI24" s="99"/>
      <c r="AJ24" s="99"/>
      <c r="AK24" s="99"/>
      <c r="AL24" s="99"/>
      <c r="AM24" s="99"/>
      <c r="AN24" s="99"/>
      <c r="AO24" s="99"/>
      <c r="AP24" s="99"/>
      <c r="AQ24" s="99"/>
      <c r="AR24" s="99"/>
      <c r="AS24" s="99"/>
      <c r="AT24" s="100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5"/>
      <c r="C27" s="105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5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7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  <c r="AJ31" s="106"/>
      <c r="AK31" s="107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7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  <c r="AJ32" s="106"/>
      <c r="AK32" s="107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7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7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7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7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7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7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7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8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9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09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8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9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09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9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09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8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9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9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0"/>
      <c r="C42" s="11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98"/>
      <c r="B44" s="99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100"/>
      <c r="X44" s="98"/>
      <c r="Y44" s="99"/>
      <c r="Z44" s="99"/>
      <c r="AA44" s="99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100"/>
    </row>
    <row r="45" spans="1:46" s="13" customFormat="1" ht="12.75" customHeight="1" x14ac:dyDescent="0.2">
      <c r="A45" s="101"/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100"/>
      <c r="X45" s="101"/>
      <c r="Y45" s="99"/>
      <c r="Z45" s="99"/>
      <c r="AA45" s="99"/>
      <c r="AB45" s="99"/>
      <c r="AC45" s="99"/>
      <c r="AD45" s="99"/>
      <c r="AE45" s="99"/>
      <c r="AF45" s="99"/>
      <c r="AG45" s="99"/>
      <c r="AH45" s="99"/>
      <c r="AI45" s="99"/>
      <c r="AJ45" s="99"/>
      <c r="AK45" s="99"/>
      <c r="AL45" s="99"/>
      <c r="AM45" s="99"/>
      <c r="AN45" s="99"/>
      <c r="AO45" s="99"/>
      <c r="AP45" s="99"/>
      <c r="AQ45" s="99"/>
      <c r="AR45" s="99"/>
      <c r="AS45" s="99"/>
      <c r="AT45" s="100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5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5"/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5"/>
      <c r="C50" s="105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6"/>
      <c r="C52" s="106"/>
      <c r="D52" s="106"/>
      <c r="E52" s="106"/>
      <c r="F52" s="106"/>
      <c r="G52" s="106"/>
      <c r="H52" s="106"/>
      <c r="I52" s="106"/>
      <c r="J52" s="106"/>
      <c r="K52" s="106"/>
      <c r="L52" s="106"/>
      <c r="M52" s="106"/>
      <c r="N52" s="107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6"/>
      <c r="Z52" s="106"/>
      <c r="AA52" s="106"/>
      <c r="AB52" s="106"/>
      <c r="AC52" s="106"/>
      <c r="AD52" s="106"/>
      <c r="AE52" s="106"/>
      <c r="AF52" s="106"/>
      <c r="AG52" s="106"/>
      <c r="AH52" s="106"/>
      <c r="AI52" s="106"/>
      <c r="AJ52" s="106"/>
      <c r="AK52" s="107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6"/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7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6"/>
      <c r="Z53" s="106"/>
      <c r="AA53" s="106"/>
      <c r="AB53" s="106"/>
      <c r="AC53" s="106"/>
      <c r="AD53" s="106"/>
      <c r="AE53" s="106"/>
      <c r="AF53" s="106"/>
      <c r="AG53" s="106"/>
      <c r="AH53" s="106"/>
      <c r="AI53" s="106"/>
      <c r="AJ53" s="106"/>
      <c r="AK53" s="107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6"/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7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7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6"/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7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7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6"/>
      <c r="C56" s="106"/>
      <c r="D56" s="106"/>
      <c r="E56" s="106"/>
      <c r="F56" s="106"/>
      <c r="G56" s="106"/>
      <c r="H56" s="106"/>
      <c r="I56" s="106"/>
      <c r="J56" s="106"/>
      <c r="K56" s="106"/>
      <c r="L56" s="106"/>
      <c r="M56" s="106"/>
      <c r="N56" s="107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7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6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7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  <c r="AJ57" s="106"/>
      <c r="AK57" s="107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9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9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9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09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9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09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9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09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0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399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400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399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400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1" t="s">
        <v>95</v>
      </c>
      <c r="B27" s="111"/>
      <c r="C27" s="111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401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402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401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402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1" t="s">
        <v>95</v>
      </c>
      <c r="B54" s="111"/>
      <c r="C54" s="111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403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404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403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404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1" t="s">
        <v>95</v>
      </c>
      <c r="B81" s="111"/>
      <c r="C81" s="111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405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402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405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402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1" t="s">
        <v>95</v>
      </c>
      <c r="B108" s="111"/>
      <c r="C108" s="111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406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407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406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407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1" t="s">
        <v>95</v>
      </c>
      <c r="B135" s="111"/>
      <c r="C135" s="111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408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407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408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407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1" t="s">
        <v>95</v>
      </c>
      <c r="B162" s="111"/>
      <c r="C162" s="111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409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402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409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402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1" t="s">
        <v>95</v>
      </c>
      <c r="B189" s="111"/>
      <c r="C189" s="111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410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407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410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407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1" t="s">
        <v>95</v>
      </c>
      <c r="B216" s="111"/>
      <c r="C216" s="111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411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407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411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407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1" t="s">
        <v>95</v>
      </c>
      <c r="B243" s="111"/>
      <c r="C243" s="111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412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413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412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413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1" t="s">
        <v>95</v>
      </c>
      <c r="B270" s="111"/>
      <c r="C270" s="111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414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407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414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407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1" t="s">
        <v>95</v>
      </c>
      <c r="B297" s="111"/>
      <c r="C297" s="111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415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402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415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402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1" t="s">
        <v>95</v>
      </c>
      <c r="B324" s="111"/>
      <c r="C324" s="111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416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404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416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404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1" t="s">
        <v>95</v>
      </c>
      <c r="B351" s="111"/>
      <c r="C351" s="111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417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402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417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402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1" t="s">
        <v>95</v>
      </c>
      <c r="B378" s="111"/>
      <c r="C378" s="111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418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419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418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419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1" t="s">
        <v>95</v>
      </c>
      <c r="B405" s="111"/>
      <c r="C405" s="111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420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421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420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421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1" t="s">
        <v>95</v>
      </c>
      <c r="B432" s="111"/>
      <c r="C432" s="111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422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407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422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407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1" t="s">
        <v>95</v>
      </c>
      <c r="B459" s="111"/>
      <c r="C459" s="111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423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402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423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402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1" t="s">
        <v>95</v>
      </c>
      <c r="B486" s="111"/>
      <c r="C486" s="111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424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425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424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425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1" t="s">
        <v>95</v>
      </c>
      <c r="B513" s="111"/>
      <c r="C513" s="111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426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407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426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407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1" t="s">
        <v>95</v>
      </c>
      <c r="B540" s="111"/>
      <c r="C540" s="111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427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407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427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407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1" t="s">
        <v>95</v>
      </c>
      <c r="B567" s="111"/>
      <c r="C567" s="111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428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407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428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407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1" t="s">
        <v>95</v>
      </c>
      <c r="B594" s="111"/>
      <c r="C594" s="111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3" t="s">
        <v>128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3" t="s">
        <v>129</v>
      </c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  <c r="BL2" s="153"/>
      <c r="BM2" s="153"/>
      <c r="BN2" s="153"/>
      <c r="BO2" s="153"/>
      <c r="BP2" s="153"/>
      <c r="BQ2" s="153"/>
      <c r="BR2" s="153"/>
      <c r="BS2" s="153"/>
      <c r="BT2" s="153"/>
      <c r="BU2" s="153"/>
      <c r="BV2" s="153"/>
      <c r="BW2" s="153"/>
      <c r="BX2" s="153"/>
      <c r="BY2" s="153"/>
      <c r="BZ2" s="153"/>
      <c r="CA2" s="153"/>
      <c r="CB2" s="153"/>
      <c r="CC2" s="153"/>
      <c r="CD2" s="153"/>
      <c r="CE2" s="153"/>
      <c r="CF2" s="153"/>
      <c r="CG2" s="153"/>
      <c r="CH2" s="153"/>
      <c r="CI2" s="153"/>
      <c r="CJ2" s="153"/>
      <c r="CK2" s="153"/>
      <c r="CL2" s="153"/>
      <c r="CM2" s="153"/>
      <c r="CN2" s="153"/>
      <c r="CO2" s="153"/>
      <c r="CP2" s="153"/>
      <c r="CQ2" s="153"/>
      <c r="CR2" s="153"/>
      <c r="CS2" s="153"/>
      <c r="CT2" s="153"/>
      <c r="CU2" s="153"/>
      <c r="CV2" s="153"/>
      <c r="CW2" s="153"/>
      <c r="CX2" s="153"/>
      <c r="CY2" s="153"/>
      <c r="CZ2" s="153"/>
      <c r="DA2" s="153"/>
      <c r="DB2" s="153"/>
      <c r="DC2" s="153"/>
      <c r="DD2" s="153"/>
      <c r="DE2" s="153"/>
      <c r="DF2" s="153"/>
      <c r="DG2" s="153"/>
      <c r="DH2" s="153"/>
      <c r="DI2" s="153"/>
      <c r="DJ2" s="153"/>
      <c r="DK2" s="153"/>
      <c r="DL2" s="153"/>
      <c r="DM2" s="153"/>
      <c r="DN2" s="153"/>
      <c r="DO2" s="153"/>
      <c r="DP2" s="153"/>
      <c r="DQ2" s="153"/>
      <c r="DR2" s="153"/>
      <c r="DS2" s="153"/>
      <c r="DT2" s="153"/>
      <c r="DU2" s="153"/>
      <c r="DV2" s="153"/>
      <c r="DW2" s="153"/>
      <c r="DX2" s="153"/>
      <c r="DY2" s="153"/>
      <c r="DZ2" s="153"/>
      <c r="EA2" s="153"/>
      <c r="EB2" s="153"/>
      <c r="EC2" s="153"/>
      <c r="ED2" s="153"/>
      <c r="EE2" s="153"/>
      <c r="EF2" s="153"/>
      <c r="EG2" s="153"/>
      <c r="EH2" s="153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37" t="s">
        <v>134</v>
      </c>
      <c r="BO5" s="46"/>
      <c r="BP5" s="52"/>
      <c r="BQ5" s="52"/>
      <c r="BR5" s="52"/>
      <c r="BZ5" s="112" t="s">
        <v>153</v>
      </c>
      <c r="CA5" s="113"/>
      <c r="CB5" s="113"/>
      <c r="CC5" s="113"/>
      <c r="CD5" s="113"/>
      <c r="CE5" s="113"/>
      <c r="CF5" s="113"/>
      <c r="CG5" s="113"/>
      <c r="CH5" s="113"/>
      <c r="CI5" s="114"/>
      <c r="CJ5" s="112" t="s">
        <v>154</v>
      </c>
      <c r="CK5" s="113"/>
      <c r="CL5" s="113"/>
      <c r="CM5" s="113"/>
      <c r="CN5" s="113"/>
      <c r="CO5" s="113"/>
      <c r="CP5" s="114"/>
      <c r="CQ5" s="112" t="s">
        <v>155</v>
      </c>
      <c r="CR5" s="113"/>
      <c r="CS5" s="113"/>
      <c r="CT5" s="113"/>
      <c r="CU5" s="113"/>
      <c r="CV5" s="113"/>
      <c r="CW5" s="113"/>
      <c r="CX5" s="113"/>
      <c r="CY5" s="114"/>
      <c r="CZ5" s="112" t="s">
        <v>156</v>
      </c>
      <c r="DA5" s="113"/>
      <c r="DB5" s="113"/>
      <c r="DC5" s="113"/>
      <c r="DD5" s="113"/>
      <c r="DE5" s="113"/>
      <c r="DF5" s="113"/>
      <c r="DG5" s="113"/>
      <c r="DH5" s="114"/>
      <c r="DI5" s="112" t="s">
        <v>157</v>
      </c>
      <c r="DJ5" s="113"/>
      <c r="DK5" s="113"/>
      <c r="DL5" s="113"/>
      <c r="DM5" s="113"/>
      <c r="DN5" s="113"/>
      <c r="DO5" s="113"/>
      <c r="DP5" s="114"/>
      <c r="DQ5" s="112" t="s">
        <v>158</v>
      </c>
      <c r="DR5" s="113"/>
      <c r="DS5" s="113"/>
      <c r="DT5" s="113"/>
      <c r="DU5" s="113"/>
      <c r="DV5" s="113"/>
      <c r="DW5" s="113"/>
      <c r="DX5" s="114"/>
      <c r="DY5" s="112" t="s">
        <v>159</v>
      </c>
      <c r="DZ5" s="113"/>
      <c r="EA5" s="113"/>
      <c r="EB5" s="113"/>
      <c r="EC5" s="113"/>
      <c r="ED5" s="113"/>
      <c r="EE5" s="113"/>
      <c r="EF5" s="113"/>
      <c r="EG5" s="113"/>
      <c r="EH5" s="114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5"/>
      <c r="CA6" s="116"/>
      <c r="CB6" s="116"/>
      <c r="CC6" s="116"/>
      <c r="CD6" s="116"/>
      <c r="CE6" s="116"/>
      <c r="CF6" s="116"/>
      <c r="CG6" s="116"/>
      <c r="CH6" s="116"/>
      <c r="CI6" s="117"/>
      <c r="CJ6" s="115"/>
      <c r="CK6" s="116"/>
      <c r="CL6" s="116"/>
      <c r="CM6" s="116"/>
      <c r="CN6" s="116"/>
      <c r="CO6" s="116"/>
      <c r="CP6" s="117"/>
      <c r="CQ6" s="115"/>
      <c r="CR6" s="116"/>
      <c r="CS6" s="116"/>
      <c r="CT6" s="116"/>
      <c r="CU6" s="116"/>
      <c r="CV6" s="116"/>
      <c r="CW6" s="116"/>
      <c r="CX6" s="116"/>
      <c r="CY6" s="117"/>
      <c r="CZ6" s="115"/>
      <c r="DA6" s="116"/>
      <c r="DB6" s="116"/>
      <c r="DC6" s="116"/>
      <c r="DD6" s="116"/>
      <c r="DE6" s="116"/>
      <c r="DF6" s="116"/>
      <c r="DG6" s="116"/>
      <c r="DH6" s="117"/>
      <c r="DI6" s="115"/>
      <c r="DJ6" s="116"/>
      <c r="DK6" s="116"/>
      <c r="DL6" s="116"/>
      <c r="DM6" s="116"/>
      <c r="DN6" s="116"/>
      <c r="DO6" s="116"/>
      <c r="DP6" s="117"/>
      <c r="DQ6" s="115"/>
      <c r="DR6" s="116"/>
      <c r="DS6" s="116"/>
      <c r="DT6" s="116"/>
      <c r="DU6" s="116"/>
      <c r="DV6" s="116"/>
      <c r="DW6" s="116"/>
      <c r="DX6" s="117"/>
      <c r="DY6" s="115"/>
      <c r="DZ6" s="116"/>
      <c r="EA6" s="116"/>
      <c r="EB6" s="116"/>
      <c r="EC6" s="116"/>
      <c r="ED6" s="116"/>
      <c r="EE6" s="116"/>
      <c r="EF6" s="116"/>
      <c r="EG6" s="116"/>
      <c r="EH6" s="117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O7" s="46"/>
      <c r="BZ7" s="115"/>
      <c r="CA7" s="116"/>
      <c r="CB7" s="116"/>
      <c r="CC7" s="116"/>
      <c r="CD7" s="116"/>
      <c r="CE7" s="116"/>
      <c r="CF7" s="116"/>
      <c r="CG7" s="116"/>
      <c r="CH7" s="116"/>
      <c r="CI7" s="117"/>
      <c r="CJ7" s="115"/>
      <c r="CK7" s="116"/>
      <c r="CL7" s="116"/>
      <c r="CM7" s="116"/>
      <c r="CN7" s="116"/>
      <c r="CO7" s="116"/>
      <c r="CP7" s="117"/>
      <c r="CQ7" s="115"/>
      <c r="CR7" s="116"/>
      <c r="CS7" s="116"/>
      <c r="CT7" s="116"/>
      <c r="CU7" s="116"/>
      <c r="CV7" s="116"/>
      <c r="CW7" s="116"/>
      <c r="CX7" s="116"/>
      <c r="CY7" s="117"/>
      <c r="CZ7" s="115"/>
      <c r="DA7" s="116"/>
      <c r="DB7" s="116"/>
      <c r="DC7" s="116"/>
      <c r="DD7" s="116"/>
      <c r="DE7" s="116"/>
      <c r="DF7" s="116"/>
      <c r="DG7" s="116"/>
      <c r="DH7" s="117"/>
      <c r="DI7" s="115"/>
      <c r="DJ7" s="116"/>
      <c r="DK7" s="116"/>
      <c r="DL7" s="116"/>
      <c r="DM7" s="116"/>
      <c r="DN7" s="116"/>
      <c r="DO7" s="116"/>
      <c r="DP7" s="117"/>
      <c r="DQ7" s="115"/>
      <c r="DR7" s="116"/>
      <c r="DS7" s="116"/>
      <c r="DT7" s="116"/>
      <c r="DU7" s="116"/>
      <c r="DV7" s="116"/>
      <c r="DW7" s="116"/>
      <c r="DX7" s="117"/>
      <c r="DY7" s="115"/>
      <c r="DZ7" s="116"/>
      <c r="EA7" s="116"/>
      <c r="EB7" s="116"/>
      <c r="EC7" s="116"/>
      <c r="ED7" s="116"/>
      <c r="EE7" s="116"/>
      <c r="EF7" s="116"/>
      <c r="EG7" s="116"/>
      <c r="EH7" s="117"/>
    </row>
    <row r="8" spans="1:167" ht="11.25" customHeight="1" x14ac:dyDescent="0.2">
      <c r="A8" s="131"/>
      <c r="B8" s="131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O8" s="46"/>
      <c r="BZ8" s="132"/>
      <c r="CA8" s="133"/>
      <c r="CB8" s="133"/>
      <c r="CC8" s="133"/>
      <c r="CD8" s="133"/>
      <c r="CE8" s="133"/>
      <c r="CF8" s="133"/>
      <c r="CG8" s="133"/>
      <c r="CH8" s="133"/>
      <c r="CI8" s="134"/>
      <c r="CJ8" s="132"/>
      <c r="CK8" s="133"/>
      <c r="CL8" s="133"/>
      <c r="CM8" s="133"/>
      <c r="CN8" s="133"/>
      <c r="CO8" s="133"/>
      <c r="CP8" s="134"/>
      <c r="CQ8" s="132"/>
      <c r="CR8" s="133"/>
      <c r="CS8" s="133"/>
      <c r="CT8" s="133"/>
      <c r="CU8" s="133"/>
      <c r="CV8" s="133"/>
      <c r="CW8" s="133"/>
      <c r="CX8" s="133"/>
      <c r="CY8" s="134"/>
      <c r="CZ8" s="132"/>
      <c r="DA8" s="133"/>
      <c r="DB8" s="133"/>
      <c r="DC8" s="133"/>
      <c r="DD8" s="133"/>
      <c r="DE8" s="133"/>
      <c r="DF8" s="133"/>
      <c r="DG8" s="133"/>
      <c r="DH8" s="134"/>
      <c r="DI8" s="132"/>
      <c r="DJ8" s="133"/>
      <c r="DK8" s="133"/>
      <c r="DL8" s="133"/>
      <c r="DM8" s="133"/>
      <c r="DN8" s="133"/>
      <c r="DO8" s="133"/>
      <c r="DP8" s="134"/>
      <c r="DQ8" s="132"/>
      <c r="DR8" s="133"/>
      <c r="DS8" s="133"/>
      <c r="DT8" s="133"/>
      <c r="DU8" s="133"/>
      <c r="DV8" s="133"/>
      <c r="DW8" s="133"/>
      <c r="DX8" s="134"/>
      <c r="DY8" s="132"/>
      <c r="DZ8" s="133"/>
      <c r="EA8" s="133"/>
      <c r="EB8" s="133"/>
      <c r="EC8" s="133"/>
      <c r="ED8" s="133"/>
      <c r="EE8" s="133"/>
      <c r="EF8" s="133"/>
      <c r="EG8" s="133"/>
      <c r="EH8" s="134"/>
    </row>
    <row r="9" spans="1:167" ht="15" customHeight="1" x14ac:dyDescent="0.2">
      <c r="A9" s="157" t="s">
        <v>143</v>
      </c>
      <c r="B9" s="157"/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5"/>
      <c r="S9" s="155"/>
      <c r="T9" s="155"/>
      <c r="U9" s="155"/>
      <c r="V9" s="155"/>
      <c r="W9" s="155"/>
      <c r="X9" s="155"/>
      <c r="Y9" s="155"/>
      <c r="Z9" s="37" t="s">
        <v>144</v>
      </c>
      <c r="AG9" s="157" t="s">
        <v>145</v>
      </c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5"/>
      <c r="BC9" s="155"/>
      <c r="BD9" s="155"/>
      <c r="BE9" s="155"/>
      <c r="BF9" s="37" t="s">
        <v>146</v>
      </c>
      <c r="BO9" s="46"/>
      <c r="BZ9" s="121">
        <v>1</v>
      </c>
      <c r="CA9" s="122"/>
      <c r="CB9" s="122"/>
      <c r="CC9" s="122"/>
      <c r="CD9" s="122"/>
      <c r="CE9" s="122"/>
      <c r="CF9" s="122"/>
      <c r="CG9" s="122"/>
      <c r="CH9" s="122"/>
      <c r="CI9" s="123"/>
      <c r="CJ9" s="121">
        <v>2</v>
      </c>
      <c r="CK9" s="122"/>
      <c r="CL9" s="122"/>
      <c r="CM9" s="122"/>
      <c r="CN9" s="122"/>
      <c r="CO9" s="122"/>
      <c r="CP9" s="123"/>
      <c r="CQ9" s="121">
        <v>3</v>
      </c>
      <c r="CR9" s="122"/>
      <c r="CS9" s="122"/>
      <c r="CT9" s="122"/>
      <c r="CU9" s="122"/>
      <c r="CV9" s="122"/>
      <c r="CW9" s="122"/>
      <c r="CX9" s="122"/>
      <c r="CY9" s="123"/>
      <c r="CZ9" s="121">
        <v>4</v>
      </c>
      <c r="DA9" s="122"/>
      <c r="DB9" s="122"/>
      <c r="DC9" s="122"/>
      <c r="DD9" s="122"/>
      <c r="DE9" s="122"/>
      <c r="DF9" s="122"/>
      <c r="DG9" s="122"/>
      <c r="DH9" s="123"/>
      <c r="DI9" s="121">
        <v>5</v>
      </c>
      <c r="DJ9" s="122"/>
      <c r="DK9" s="122"/>
      <c r="DL9" s="122"/>
      <c r="DM9" s="122"/>
      <c r="DN9" s="122"/>
      <c r="DO9" s="122"/>
      <c r="DP9" s="123"/>
      <c r="DQ9" s="121">
        <v>6</v>
      </c>
      <c r="DR9" s="122"/>
      <c r="DS9" s="122"/>
      <c r="DT9" s="122"/>
      <c r="DU9" s="122"/>
      <c r="DV9" s="122"/>
      <c r="DW9" s="122"/>
      <c r="DX9" s="123"/>
      <c r="DY9" s="121">
        <v>7</v>
      </c>
      <c r="DZ9" s="122"/>
      <c r="EA9" s="122"/>
      <c r="EB9" s="122"/>
      <c r="EC9" s="122"/>
      <c r="ED9" s="122"/>
      <c r="EE9" s="122"/>
      <c r="EF9" s="122"/>
      <c r="EG9" s="122"/>
      <c r="EH9" s="123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4" t="s">
        <v>160</v>
      </c>
      <c r="CA10" s="125"/>
      <c r="CB10" s="125"/>
      <c r="CC10" s="125"/>
      <c r="CD10" s="125"/>
      <c r="CE10" s="125"/>
      <c r="CF10" s="125"/>
      <c r="CG10" s="125"/>
      <c r="CH10" s="125"/>
      <c r="CI10" s="126"/>
      <c r="CJ10" s="127" t="s">
        <v>161</v>
      </c>
      <c r="CK10" s="128"/>
      <c r="CL10" s="128"/>
      <c r="CM10" s="128"/>
      <c r="CN10" s="128"/>
      <c r="CO10" s="128"/>
      <c r="CP10" s="129"/>
      <c r="CQ10" s="118"/>
      <c r="CR10" s="119"/>
      <c r="CS10" s="119"/>
      <c r="CT10" s="119"/>
      <c r="CU10" s="119"/>
      <c r="CV10" s="119"/>
      <c r="CW10" s="119"/>
      <c r="CX10" s="119"/>
      <c r="CY10" s="120"/>
      <c r="CZ10" s="118"/>
      <c r="DA10" s="119"/>
      <c r="DB10" s="119"/>
      <c r="DC10" s="119"/>
      <c r="DD10" s="119"/>
      <c r="DE10" s="119"/>
      <c r="DF10" s="119"/>
      <c r="DG10" s="119"/>
      <c r="DH10" s="120"/>
      <c r="DI10" s="118"/>
      <c r="DJ10" s="119"/>
      <c r="DK10" s="119"/>
      <c r="DL10" s="119"/>
      <c r="DM10" s="119"/>
      <c r="DN10" s="119"/>
      <c r="DO10" s="119"/>
      <c r="DP10" s="120"/>
      <c r="DQ10" s="118"/>
      <c r="DR10" s="119"/>
      <c r="DS10" s="119"/>
      <c r="DT10" s="119"/>
      <c r="DU10" s="119"/>
      <c r="DV10" s="119"/>
      <c r="DW10" s="119"/>
      <c r="DX10" s="120"/>
      <c r="DY10" s="118"/>
      <c r="DZ10" s="119"/>
      <c r="EA10" s="119"/>
      <c r="EB10" s="119"/>
      <c r="EC10" s="119"/>
      <c r="ED10" s="119"/>
      <c r="EE10" s="119"/>
      <c r="EF10" s="119"/>
      <c r="EG10" s="119"/>
      <c r="EH10" s="120"/>
    </row>
    <row r="11" spans="1:167" ht="18.75" customHeight="1" x14ac:dyDescent="0.2"/>
    <row r="12" spans="1:167" ht="21.75" customHeight="1" x14ac:dyDescent="0.2">
      <c r="C12" s="154" t="s">
        <v>162</v>
      </c>
      <c r="D12" s="154"/>
      <c r="E12" s="154"/>
      <c r="F12" s="154"/>
      <c r="G12" s="154"/>
      <c r="H12" s="154"/>
      <c r="I12" s="154"/>
      <c r="J12" s="154"/>
      <c r="K12" s="154"/>
      <c r="L12" s="154"/>
      <c r="M12" s="154"/>
      <c r="N12" s="154"/>
      <c r="O12" s="154"/>
      <c r="P12" s="154"/>
      <c r="Q12" s="154"/>
      <c r="R12" s="154"/>
      <c r="S12" s="154"/>
      <c r="T12" s="154"/>
      <c r="U12" s="154"/>
      <c r="V12" s="154"/>
      <c r="W12" s="154"/>
      <c r="X12" s="154"/>
      <c r="Y12" s="154"/>
      <c r="Z12" s="154"/>
      <c r="AA12" s="154"/>
      <c r="AB12" s="154"/>
      <c r="AC12" s="154"/>
      <c r="AD12" s="154"/>
      <c r="AE12" s="154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4"/>
      <c r="D13" s="154"/>
      <c r="E13" s="154"/>
      <c r="F13" s="154"/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154"/>
      <c r="AC13" s="154"/>
      <c r="AD13" s="154"/>
      <c r="AE13" s="154"/>
      <c r="AO13" s="112" t="s">
        <v>135</v>
      </c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4"/>
      <c r="BF13" s="112" t="s">
        <v>136</v>
      </c>
      <c r="BG13" s="113"/>
      <c r="BH13" s="113"/>
      <c r="BI13" s="113"/>
      <c r="BJ13" s="113"/>
      <c r="BK13" s="113"/>
      <c r="BL13" s="113"/>
      <c r="BM13" s="113"/>
      <c r="BN13" s="113"/>
      <c r="BO13" s="113"/>
      <c r="BP13" s="113"/>
      <c r="BQ13" s="113"/>
      <c r="BR13" s="113"/>
      <c r="BS13" s="113"/>
      <c r="BT13" s="113"/>
      <c r="BU13" s="113"/>
      <c r="BV13" s="113"/>
      <c r="BW13" s="113"/>
      <c r="BX13" s="113"/>
      <c r="BY13" s="113"/>
      <c r="BZ13" s="113"/>
      <c r="CA13" s="113"/>
      <c r="CB13" s="113"/>
      <c r="CC13" s="113"/>
      <c r="CD13" s="113"/>
      <c r="CE13" s="114"/>
      <c r="CF13" s="112" t="s">
        <v>137</v>
      </c>
      <c r="CG13" s="113"/>
      <c r="CH13" s="113"/>
      <c r="CI13" s="113"/>
      <c r="CJ13" s="113"/>
      <c r="CK13" s="113"/>
      <c r="CL13" s="113"/>
      <c r="CM13" s="113"/>
      <c r="CN13" s="113"/>
      <c r="CO13" s="113"/>
      <c r="CP13" s="113"/>
      <c r="CQ13" s="113"/>
      <c r="CR13" s="113"/>
      <c r="CS13" s="113"/>
      <c r="CT13" s="113"/>
      <c r="CU13" s="113"/>
      <c r="CV13" s="113"/>
      <c r="CW13" s="113"/>
      <c r="CX13" s="113"/>
      <c r="CY13" s="114"/>
      <c r="CZ13" s="112" t="s">
        <v>138</v>
      </c>
      <c r="DA13" s="113"/>
      <c r="DB13" s="113"/>
      <c r="DC13" s="113"/>
      <c r="DD13" s="113"/>
      <c r="DE13" s="113"/>
      <c r="DF13" s="113"/>
      <c r="DG13" s="113"/>
      <c r="DH13" s="113"/>
      <c r="DI13" s="113"/>
      <c r="DJ13" s="113"/>
      <c r="DK13" s="113"/>
      <c r="DL13" s="113"/>
      <c r="DM13" s="113"/>
      <c r="DN13" s="113"/>
      <c r="DO13" s="113"/>
      <c r="DP13" s="113"/>
      <c r="DQ13" s="114"/>
      <c r="DR13" s="112" t="s">
        <v>139</v>
      </c>
      <c r="DS13" s="113"/>
      <c r="DT13" s="113"/>
      <c r="DU13" s="113"/>
      <c r="DV13" s="113"/>
      <c r="DW13" s="113"/>
      <c r="DX13" s="113"/>
      <c r="DY13" s="113"/>
      <c r="DZ13" s="113"/>
      <c r="EA13" s="113"/>
      <c r="EB13" s="113"/>
      <c r="EC13" s="113"/>
      <c r="ED13" s="113"/>
      <c r="EE13" s="113"/>
      <c r="EF13" s="113"/>
      <c r="EG13" s="113"/>
      <c r="EH13" s="114"/>
    </row>
    <row r="14" spans="1:167" ht="12" customHeight="1" x14ac:dyDescent="0.2">
      <c r="A14" s="44"/>
      <c r="C14" s="154"/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O14" s="115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7"/>
      <c r="BF14" s="115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  <c r="BS14" s="116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7"/>
      <c r="CF14" s="115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16"/>
      <c r="CT14" s="116"/>
      <c r="CU14" s="116"/>
      <c r="CV14" s="116"/>
      <c r="CW14" s="116"/>
      <c r="CX14" s="116"/>
      <c r="CY14" s="117"/>
      <c r="CZ14" s="115"/>
      <c r="DA14" s="116"/>
      <c r="DB14" s="116"/>
      <c r="DC14" s="116"/>
      <c r="DD14" s="116"/>
      <c r="DE14" s="116"/>
      <c r="DF14" s="116"/>
      <c r="DG14" s="116"/>
      <c r="DH14" s="116"/>
      <c r="DI14" s="116"/>
      <c r="DJ14" s="116"/>
      <c r="DK14" s="116"/>
      <c r="DL14" s="116"/>
      <c r="DM14" s="116"/>
      <c r="DN14" s="116"/>
      <c r="DO14" s="116"/>
      <c r="DP14" s="116"/>
      <c r="DQ14" s="117"/>
      <c r="DR14" s="115"/>
      <c r="DS14" s="116"/>
      <c r="DT14" s="116"/>
      <c r="DU14" s="116"/>
      <c r="DV14" s="116"/>
      <c r="DW14" s="116"/>
      <c r="DX14" s="116"/>
      <c r="DY14" s="116"/>
      <c r="DZ14" s="116"/>
      <c r="EA14" s="116"/>
      <c r="EB14" s="116"/>
      <c r="EC14" s="116"/>
      <c r="ED14" s="116"/>
      <c r="EE14" s="116"/>
      <c r="EF14" s="116"/>
      <c r="EG14" s="116"/>
      <c r="EH14" s="117"/>
    </row>
    <row r="15" spans="1:167" ht="18" customHeight="1" x14ac:dyDescent="0.2">
      <c r="A15" s="44"/>
      <c r="C15" s="154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154"/>
      <c r="AC15" s="154"/>
      <c r="AD15" s="154"/>
      <c r="AE15" s="154"/>
      <c r="AO15" s="115"/>
      <c r="AP15" s="116"/>
      <c r="AQ15" s="116"/>
      <c r="AR15" s="116"/>
      <c r="AS15" s="116"/>
      <c r="AT15" s="116"/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7"/>
      <c r="BF15" s="115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  <c r="BS15" s="116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7"/>
      <c r="CF15" s="115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16"/>
      <c r="CT15" s="116"/>
      <c r="CU15" s="116"/>
      <c r="CV15" s="116"/>
      <c r="CW15" s="116"/>
      <c r="CX15" s="116"/>
      <c r="CY15" s="117"/>
      <c r="CZ15" s="115"/>
      <c r="DA15" s="116"/>
      <c r="DB15" s="116"/>
      <c r="DC15" s="116"/>
      <c r="DD15" s="116"/>
      <c r="DE15" s="116"/>
      <c r="DF15" s="116"/>
      <c r="DG15" s="116"/>
      <c r="DH15" s="116"/>
      <c r="DI15" s="116"/>
      <c r="DJ15" s="116"/>
      <c r="DK15" s="116"/>
      <c r="DL15" s="116"/>
      <c r="DM15" s="116"/>
      <c r="DN15" s="116"/>
      <c r="DO15" s="116"/>
      <c r="DP15" s="116"/>
      <c r="DQ15" s="117"/>
      <c r="DR15" s="115"/>
      <c r="DS15" s="116"/>
      <c r="DT15" s="116"/>
      <c r="DU15" s="116"/>
      <c r="DV15" s="116"/>
      <c r="DW15" s="116"/>
      <c r="DX15" s="116"/>
      <c r="DY15" s="116"/>
      <c r="DZ15" s="116"/>
      <c r="EA15" s="116"/>
      <c r="EB15" s="116"/>
      <c r="EC15" s="116"/>
      <c r="ED15" s="116"/>
      <c r="EE15" s="116"/>
      <c r="EF15" s="116"/>
      <c r="EG15" s="116"/>
      <c r="EH15" s="117"/>
    </row>
    <row r="16" spans="1:167" ht="15" customHeight="1" x14ac:dyDescent="0.2">
      <c r="C16" s="154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4"/>
      <c r="X16" s="154"/>
      <c r="Y16" s="154"/>
      <c r="Z16" s="154"/>
      <c r="AA16" s="154"/>
      <c r="AB16" s="154"/>
      <c r="AC16" s="154"/>
      <c r="AD16" s="154"/>
      <c r="AE16" s="154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49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1"/>
      <c r="CF16" s="142"/>
      <c r="CG16" s="130"/>
      <c r="CH16" s="130"/>
      <c r="CI16" s="130"/>
      <c r="CJ16" s="130"/>
      <c r="CK16" s="130"/>
      <c r="CL16" s="130"/>
      <c r="CM16" s="130"/>
      <c r="CN16" s="130"/>
      <c r="CO16" s="130"/>
      <c r="CP16" s="130"/>
      <c r="CQ16" s="130"/>
      <c r="CR16" s="130"/>
      <c r="CS16" s="130"/>
      <c r="CT16" s="130"/>
      <c r="CU16" s="130"/>
      <c r="CV16" s="130"/>
      <c r="CW16" s="130"/>
      <c r="CX16" s="130"/>
      <c r="CY16" s="143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5"/>
      <c r="DS16" s="146"/>
      <c r="DT16" s="146"/>
      <c r="DU16" s="146"/>
      <c r="DV16" s="146"/>
      <c r="DW16" s="146"/>
      <c r="DX16" s="146"/>
      <c r="DY16" s="146"/>
      <c r="DZ16" s="146"/>
      <c r="EA16" s="146"/>
      <c r="EB16" s="146"/>
      <c r="EC16" s="146"/>
      <c r="ED16" s="146"/>
      <c r="EE16" s="146"/>
      <c r="EF16" s="146"/>
      <c r="EG16" s="146"/>
      <c r="EH16" s="147"/>
    </row>
    <row r="17" spans="3:138" ht="11.1" customHeight="1" x14ac:dyDescent="0.2"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4"/>
      <c r="AA17" s="154"/>
      <c r="AB17" s="154"/>
      <c r="AC17" s="154"/>
      <c r="AD17" s="154"/>
      <c r="AE17" s="154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8" t="s">
        <v>142</v>
      </c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  <c r="CX17" s="144"/>
      <c r="CY17" s="144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4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4"/>
      <c r="X18" s="154"/>
      <c r="Y18" s="154"/>
      <c r="Z18" s="154"/>
      <c r="AA18" s="154"/>
      <c r="AB18" s="154"/>
      <c r="AC18" s="154"/>
      <c r="AD18" s="154"/>
      <c r="AE18" s="154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O19" s="44"/>
      <c r="AZ19" s="152" t="s">
        <v>147</v>
      </c>
      <c r="BA19" s="152"/>
      <c r="BB19" s="152"/>
      <c r="BC19" s="152"/>
      <c r="BD19" s="152"/>
      <c r="BE19" s="152"/>
      <c r="BF19" s="152"/>
      <c r="BG19" s="152"/>
      <c r="BH19" s="152"/>
      <c r="BI19" s="152"/>
      <c r="BJ19" s="152"/>
      <c r="BK19" s="152"/>
      <c r="BL19" s="152"/>
      <c r="BM19" s="152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54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4"/>
      <c r="X20" s="154"/>
      <c r="Y20" s="154"/>
      <c r="Z20" s="154"/>
      <c r="AA20" s="154"/>
      <c r="AB20" s="154"/>
      <c r="AC20" s="154"/>
      <c r="AD20" s="154"/>
      <c r="AE20" s="154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2023-02-21T12:44:55Z</cp:lastPrinted>
  <dcterms:created xsi:type="dcterms:W3CDTF">2012-02-27T08:19:11Z</dcterms:created>
  <dcterms:modified xsi:type="dcterms:W3CDTF">2023-03-29T07:09:50Z</dcterms:modified>
</cp:coreProperties>
</file>