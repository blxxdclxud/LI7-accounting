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0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28" i="280" l="1"/>
  <c r="C519" i="280"/>
  <c r="C532" i="280" s="1"/>
  <c r="C517" i="280"/>
  <c r="C530" i="280" s="1"/>
  <c r="C515" i="280"/>
  <c r="C505" i="280"/>
  <c r="C503" i="280"/>
  <c r="C492" i="280"/>
  <c r="C490" i="280"/>
  <c r="C488" i="280"/>
  <c r="C501" i="280" s="1"/>
  <c r="C474" i="280"/>
  <c r="C465" i="280"/>
  <c r="C478" i="280" s="1"/>
  <c r="C463" i="280"/>
  <c r="C476" i="280" s="1"/>
  <c r="C461" i="280"/>
  <c r="C451" i="280"/>
  <c r="C449" i="280"/>
  <c r="C447" i="280"/>
  <c r="C438" i="280"/>
  <c r="C436" i="280"/>
  <c r="C434" i="280"/>
  <c r="C424" i="280"/>
  <c r="C420" i="280"/>
  <c r="C411" i="280"/>
  <c r="C409" i="280"/>
  <c r="C422" i="280" s="1"/>
  <c r="C407" i="280"/>
  <c r="C397" i="280"/>
  <c r="C395" i="280"/>
  <c r="C393" i="280"/>
  <c r="C384" i="280"/>
  <c r="C382" i="280"/>
  <c r="C380" i="280"/>
  <c r="C370" i="280"/>
  <c r="C366" i="280"/>
  <c r="C357" i="280"/>
  <c r="C355" i="280"/>
  <c r="C368" i="280" s="1"/>
  <c r="C353" i="280"/>
  <c r="C343" i="280"/>
  <c r="C341" i="280"/>
  <c r="C339" i="280"/>
  <c r="C330" i="280"/>
  <c r="C328" i="280"/>
  <c r="C326" i="280"/>
  <c r="C316" i="280"/>
  <c r="C312" i="280"/>
  <c r="C303" i="280"/>
  <c r="C301" i="280"/>
  <c r="C314" i="280" s="1"/>
  <c r="C299" i="280"/>
  <c r="C289" i="280"/>
  <c r="C287" i="280"/>
  <c r="C285" i="280"/>
  <c r="C276" i="280"/>
  <c r="C274" i="280"/>
  <c r="C272" i="280"/>
  <c r="C262" i="280"/>
  <c r="C258" i="280"/>
  <c r="C249" i="280"/>
  <c r="C247" i="280"/>
  <c r="C260" i="280" s="1"/>
  <c r="C245" i="280"/>
  <c r="C235" i="280"/>
  <c r="C233" i="280"/>
  <c r="C231" i="280"/>
  <c r="C222" i="280"/>
  <c r="C220" i="280"/>
  <c r="C218" i="280"/>
  <c r="C208" i="280"/>
  <c r="C204" i="280"/>
  <c r="C195" i="280"/>
  <c r="C193" i="280"/>
  <c r="C206" i="280" s="1"/>
  <c r="C191" i="280"/>
  <c r="C181" i="280"/>
  <c r="C177" i="280"/>
  <c r="C168" i="280"/>
  <c r="C166" i="280"/>
  <c r="C179" i="280" s="1"/>
  <c r="C164" i="280"/>
  <c r="C154" i="280"/>
  <c r="C150" i="280"/>
  <c r="C141" i="280"/>
  <c r="C139" i="280"/>
  <c r="C152" i="280" s="1"/>
  <c r="C137" i="280"/>
  <c r="C127" i="280"/>
  <c r="C125" i="280"/>
  <c r="C123" i="280"/>
  <c r="C114" i="280"/>
  <c r="C112" i="280"/>
  <c r="C110" i="280"/>
  <c r="C100" i="280"/>
  <c r="C96" i="280"/>
  <c r="C87" i="280"/>
  <c r="C85" i="280"/>
  <c r="C98" i="280" s="1"/>
  <c r="C83" i="280"/>
  <c r="C73" i="280"/>
  <c r="C71" i="280"/>
  <c r="C69" i="280"/>
  <c r="C60" i="280"/>
  <c r="C58" i="280"/>
  <c r="C56" i="280"/>
  <c r="C46" i="280"/>
  <c r="C42" i="280"/>
  <c r="C33" i="280"/>
  <c r="C31" i="280"/>
  <c r="C44" i="280" s="1"/>
  <c r="C29" i="280"/>
  <c r="C19" i="280"/>
  <c r="C17" i="280"/>
  <c r="C15" i="280"/>
  <c r="C6" i="280"/>
  <c r="C4" i="280"/>
  <c r="C2" i="280"/>
  <c r="F2" i="268" l="1"/>
  <c r="G2" i="268"/>
  <c r="H2" i="268"/>
  <c r="M2" i="268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<sst xmlns="http://schemas.openxmlformats.org/spreadsheetml/2006/main" count="2471" uniqueCount="477">
  <si>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</si>
  <si>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</si>
  <si>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</si>
  <si>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</si>
  <si>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</si>
  <si>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</si>
  <si>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</si>
  <si>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</si>
  <si>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</si>
  <si>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</si>
  <si>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</si>
  <si>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</si>
  <si>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</si>
  <si>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</si>
  <si>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</si>
  <si>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</si>
  <si>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</si>
  <si>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</si>
  <si>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</si>
  <si>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</si>
  <si>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</si>
  <si>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</si>
  <si>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</si>
  <si>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</si>
  <si>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</si>
  <si>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</si>
  <si>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</si>
  <si>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</si>
  <si>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</si>
  <si>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</si>
  <si>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</si>
  <si>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</si>
  <si>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</si>
  <si>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</si>
  <si>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</si>
  <si>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</si>
  <si>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</si>
  <si>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</si>
  <si>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</si>
  <si>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</si>
  <si>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</si>
  <si>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</si>
  <si>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</si>
  <si>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</si>
  <si>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</si>
  <si>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</si>
  <si>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</si>
  <si>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</si>
  <si>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</si>
  <si>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</si>
  <si>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</si>
  <si>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</si>
  <si>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</si>
  <si>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</si>
  <si>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</si>
  <si>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</si>
  <si>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</si>
  <si>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</si>
  <si>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</si>
  <si>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</si>
  <si>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</si>
  <si>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</si>
  <si>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</si>
  <si>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</si>
  <si>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</si>
  <si>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</si>
  <si>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</si>
  <si>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</si>
  <si>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</si>
  <si>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</si>
  <si>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</si>
  <si>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</si>
  <si>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</si>
  <si>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</si>
  <si>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</si>
  <si>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</si>
  <si>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</si>
  <si>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</si>
  <si>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</si>
  <si>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</si>
  <si>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</si>
  <si>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</si>
  <si>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</si>
  <si>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</si>
  <si>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</si>
  <si>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</si>
  <si>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</si>
  <si>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</si>
  <si>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</si>
  <si>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</si>
  <si>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</si>
  <si>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</si>
  <si>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</si>
  <si>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</si>
  <si>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</si>
  <si>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</si>
  <si>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</si>
  <si>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</si>
  <si>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</si>
  <si>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</si>
  <si>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</si>
  <si>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</si>
  <si>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</si>
  <si>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</si>
  <si>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</si>
  <si>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</si>
  <si>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</si>
  <si>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</si>
  <si>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</si>
  <si>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</si>
  <si>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</si>
  <si>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</si>
  <si>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</si>
  <si>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</si>
  <si>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</si>
  <si>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</si>
  <si>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</si>
  <si>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</si>
  <si>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</si>
  <si>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</si>
  <si>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</si>
  <si>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</si>
  <si>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</si>
  <si>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</si>
  <si>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</si>
  <si>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</si>
  <si>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</si>
  <si>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</si>
  <si>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</si>
  <si>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</si>
  <si>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</si>
  <si>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</si>
  <si>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</si>
  <si>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</si>
  <si>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</si>
  <si>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</si>
  <si>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</si>
  <si>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</si>
  <si>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</si>
  <si>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</si>
  <si>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</si>
  <si>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</si>
  <si>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</si>
  <si>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</si>
  <si>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</si>
  <si>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</si>
  <si>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</si>
  <si>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</si>
  <si>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</si>
  <si>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</si>
  <si>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</si>
  <si>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</si>
  <si>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</si>
  <si>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</si>
  <si>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</si>
  <si>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</si>
  <si>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</si>
  <si>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</si>
  <si>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</si>
  <si>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</si>
  <si>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</si>
  <si>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</si>
  <si>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</si>
  <si>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</si>
  <si>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</si>
  <si>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</si>
  <si>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</si>
  <si>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</si>
  <si>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</si>
  <si>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</si>
  <si>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</si>
  <si>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</si>
  <si>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</si>
  <si>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</si>
  <si>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</si>
  <si>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</si>
  <si>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</si>
  <si>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</si>
  <si>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</si>
  <si>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</si>
  <si>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</si>
  <si>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</si>
  <si>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</si>
  <si>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</si>
  <si>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</si>
  <si>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</si>
  <si>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</si>
  <si>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</si>
  <si>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</si>
  <si>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</si>
  <si>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</si>
  <si>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</si>
  <si>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</si>
  <si>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</si>
  <si>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</si>
  <si>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</si>
  <si>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</si>
  <si>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</si>
  <si>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</si>
  <si>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</si>
  <si>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</si>
  <si>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</si>
  <si>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</si>
  <si>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</si>
  <si>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</si>
  <si>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</si>
  <si>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</si>
  <si>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</si>
  <si>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</si>
  <si>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</si>
  <si>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</si>
  <si>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</si>
  <si>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</si>
  <si>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</si>
  <si>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</si>
  <si>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</si>
  <si>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</si>
  <si>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</si>
  <si>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</si>
  <si>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</si>
  <si>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</si>
  <si>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</si>
  <si>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</si>
  <si>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</si>
  <si>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</si>
  <si>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</si>
  <si>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</si>
  <si>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</si>
  <si>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</si>
  <si>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</si>
  <si>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</si>
  <si>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</si>
  <si>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</si>
  <si>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</si>
  <si>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</si>
  <si>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</si>
  <si>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</si>
  <si>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</si>
  <si>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</si>
  <si>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</si>
  <si>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</si>
  <si>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</si>
  <si>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</si>
  <si>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</si>
  <si>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</si>
  <si>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</si>
  <si>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</si>
  <si>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</si>
  <si>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</si>
  <si>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</si>
  <si>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</si>
  <si>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</si>
  <si>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</si>
  <si>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</si>
  <si>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</si>
  <si>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</si>
  <si>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</si>
  <si>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</si>
  <si>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</si>
  <si>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</si>
  <si>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</si>
  <si>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</si>
  <si>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</si>
  <si>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</si>
  <si>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</si>
  <si>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</si>
  <si>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</si>
  <si>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</si>
  <si>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</si>
  <si>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</si>
  <si>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</si>
  <si>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</si>
  <si>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</si>
  <si>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</si>
  <si>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</si>
  <si>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</si>
  <si>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</si>
  <si>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</si>
  <si>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</si>
  <si>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</si>
  <si>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</si>
  <si>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</si>
  <si>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</si>
  <si>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</si>
  <si>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</si>
  <si>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</si>
  <si>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</si>
  <si>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</si>
  <si>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</si>
  <si>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</si>
  <si>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</si>
  <si>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</si>
  <si>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</si>
  <si>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</si>
  <si>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</si>
  <si>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</si>
  <si>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</si>
  <si>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</si>
  <si>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</si>
  <si>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</si>
  <si>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</si>
  <si>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</si>
  <si>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</si>
  <si>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</si>
  <si>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</si>
  <si>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</si>
  <si>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</si>
  <si>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</si>
  <si>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</si>
  <si>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</si>
  <si>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</si>
  <si>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</si>
  <si>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</si>
  <si>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</si>
  <si>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</si>
  <si>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</si>
  <si>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</si>
  <si>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</si>
  <si>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</si>
  <si>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</si>
  <si>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</si>
  <si>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</si>
  <si>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</si>
  <si>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</si>
  <si>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</si>
  <si>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</si>
  <si>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</si>
  <si>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</si>
  <si>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</si>
  <si>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</si>
  <si>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</si>
  <si>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</si>
  <si>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</si>
  <si>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</si>
  <si>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</si>
  <si>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</si>
  <si>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</si>
  <si>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</si>
  <si>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</si>
  <si>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</si>
  <si>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</si>
  <si>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</si>
  <si>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</si>
  <si>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</si>
  <si>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</si>
  <si>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</si>
  <si>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</si>
  <si>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</si>
  <si>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</si>
  <si>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</si>
  <si>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</si>
  <si>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</si>
  <si>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</si>
  <si>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</si>
  <si>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</si>
  <si>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</si>
  <si>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</si>
  <si>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</si>
  <si>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</si>
  <si>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</si>
  <si>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</si>
  <si>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</si>
  <si>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</si>
  <si>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</si>
  <si>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</si>
  <si>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</si>
  <si>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</si>
  <si>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</si>
  <si>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</si>
  <si>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</si>
  <si>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</si>
  <si>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</si>
  <si>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</si>
  <si>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</si>
  <si>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</si>
  <si>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</si>
  <si>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</si>
  <si>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</si>
  <si>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</si>
  <si>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</si>
  <si>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</si>
  <si>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</si>
  <si>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</si>
  <si>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</si>
  <si>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</si>
  <si>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</si>
  <si>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</si>
  <si>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</si>
  <si>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</si>
  <si>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</si>
  <si>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</si>
  <si>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</si>
  <si>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</si>
  <si>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</si>
  <si>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</si>
  <si>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</si>
  <si>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</si>
  <si>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>сент-окт</t>
  </si>
  <si>
    <t xml:space="preserve">10а доп             </t>
  </si>
  <si>
    <t xml:space="preserve">00342 </t>
  </si>
  <si>
    <t xml:space="preserve">Хакимов Азат Ильнурович                           </t>
  </si>
  <si>
    <t xml:space="preserve">00343 </t>
  </si>
  <si>
    <t xml:space="preserve">Хафизов Рустам Наилевич                           </t>
  </si>
  <si>
    <t xml:space="preserve">00344 </t>
  </si>
  <si>
    <t xml:space="preserve">Шагимарданов Амир Айдарович                       </t>
  </si>
  <si>
    <t xml:space="preserve">00345 </t>
  </si>
  <si>
    <t xml:space="preserve">Шаймарданов Айрат Ильшатович                      </t>
  </si>
  <si>
    <t xml:space="preserve">00347 </t>
  </si>
  <si>
    <t xml:space="preserve">Юсубов Мухаммад Робилевич                         </t>
  </si>
  <si>
    <t>000865</t>
  </si>
  <si>
    <t xml:space="preserve">Ахметжанов Камиль Алмазович                       </t>
  </si>
  <si>
    <t xml:space="preserve">5б доп              </t>
  </si>
  <si>
    <t>000867</t>
  </si>
  <si>
    <t xml:space="preserve">Бакиров Рустем Азатович                           </t>
  </si>
  <si>
    <t>000868</t>
  </si>
  <si>
    <t xml:space="preserve">Валиев Бахтияр Рустемович                         </t>
  </si>
  <si>
    <t>000887</t>
  </si>
  <si>
    <t xml:space="preserve">Галяветдинов Салим Айратович                      </t>
  </si>
  <si>
    <t>000870</t>
  </si>
  <si>
    <t xml:space="preserve">Гараев Саид Ильясович                             </t>
  </si>
  <si>
    <t>000871</t>
  </si>
  <si>
    <t xml:space="preserve">Гафиятов Кемаль Ренатович                         </t>
  </si>
  <si>
    <t>000873</t>
  </si>
  <si>
    <t xml:space="preserve">Железнов Глеб Андреевич                           </t>
  </si>
  <si>
    <t>000874</t>
  </si>
  <si>
    <t xml:space="preserve">Масленников Платон Алексеевич                     </t>
  </si>
  <si>
    <t>000875</t>
  </si>
  <si>
    <t xml:space="preserve">Махмутов Ахмад Ильясович                          </t>
  </si>
  <si>
    <t>000876</t>
  </si>
  <si>
    <t xml:space="preserve">Мухаметзянов Алим Айратович                       </t>
  </si>
  <si>
    <t>000877</t>
  </si>
  <si>
    <t xml:space="preserve">Мухлисов Азамат Рустамович                        </t>
  </si>
  <si>
    <t>000878</t>
  </si>
  <si>
    <t xml:space="preserve">Нуртдинов Ибрагим Вадимович                       </t>
  </si>
  <si>
    <t>000879</t>
  </si>
  <si>
    <t xml:space="preserve">Садыйков Эмир Дамирович                           </t>
  </si>
  <si>
    <t>000880</t>
  </si>
  <si>
    <t xml:space="preserve">Саляхов Ибрахим Ленарович                         </t>
  </si>
  <si>
    <t>000882</t>
  </si>
  <si>
    <t xml:space="preserve">Усманов Султан Салаватович                        </t>
  </si>
  <si>
    <t>000883</t>
  </si>
  <si>
    <t xml:space="preserve">Хафизов Джамиль Ильшатович                        </t>
  </si>
  <si>
    <t>000884</t>
  </si>
  <si>
    <t xml:space="preserve">Хисамутдинов Карим Альфирович                     </t>
  </si>
  <si>
    <t>000885</t>
  </si>
  <si>
    <t xml:space="preserve">Шафигуллин Юсуф Радикович                         </t>
  </si>
  <si>
    <t>000886</t>
  </si>
  <si>
    <t xml:space="preserve">Щербицкий Ярослав Владимирович                    </t>
  </si>
  <si>
    <t>Сумма: 5970 руб. 00 коп.</t>
  </si>
  <si>
    <t>Сумма: 11940 руб. 00 коп.</t>
  </si>
  <si>
    <t>ЛС: 000886; ФИО обучающегося: Щербицкий Ярослав Владимирович                    ; Назначение: 5б доп январь; КБК: 82100000000000000131; ОКТМО: 92701000</t>
  </si>
  <si>
    <t>ЛС: 000865; ФИО обучающегося: Ахметжанов Камиль Алмазович                       ; Назначение: 5б доп февр; КБК: 82100000000000000131; ОКТМО: 92701000</t>
  </si>
  <si>
    <t>ЛС: 000867; ФИО обучающегося: Бакиров Рустем Азатович                           ; Назначение: 5б доп февр; КБК: 82100000000000000131; ОКТМО: 92701000</t>
  </si>
  <si>
    <t>ЛС: 000868; ФИО обучающегося: Валиев Бахтияр Рустемович                         ; Назначение: 5б доп февр; КБК: 82100000000000000131; ОКТМО: 92701000</t>
  </si>
  <si>
    <t>Сумма: 35820 руб. 00 коп.</t>
  </si>
  <si>
    <t>ЛС: 000887; ФИО обучающегося: Галяветдинов Салим Айратович                      ; Назначение: 5б доп февр; КБК: 82100000000000000131; ОКТМО: 92701000</t>
  </si>
  <si>
    <t>ЛС: 000870; ФИО обучающегося: Гараев Саид Ильясович                             ; Назначение: 5б доп февр; КБК: 82100000000000000131; ОКТМО: 92701000</t>
  </si>
  <si>
    <t>ЛС: 000871; ФИО обучающегося: Гафиятов Кемаль Ренатович                         ; Назначение: 5б доп февр; КБК: 82100000000000000131; ОКТМО: 92701000</t>
  </si>
  <si>
    <t>ЛС: 000873; ФИО обучающегося: Железнов Глеб Андреевич                           ; Назначение: 5б доп февр; КБК: 82100000000000000131; ОКТМО: 92701000</t>
  </si>
  <si>
    <t>ЛС: 000874; ФИО обучающегося: Масленников Платон Алексеевич                     ; Назначение: 5б доп февр; КБК: 82100000000000000131; ОКТМО: 92701000</t>
  </si>
  <si>
    <t>ЛС: 000875; ФИО обучающегося: Махмутов Ахмад Ильясович                          ; Назначение: 5б доп февр; КБК: 82100000000000000131; ОКТМО: 92701000</t>
  </si>
  <si>
    <t>Сумма: 37820 руб. 00 коп.</t>
  </si>
  <si>
    <t>ЛС: 000876; ФИО обучающегося: Мухаметзянов Алим Айратович                       ; Назначение: 5б доп февр; КБК: 82100000000000000131; ОКТМО: 92701000</t>
  </si>
  <si>
    <t>ЛС: 000877; ФИО обучающегося: Мухлисов Азамат Рустамович                        ; Назначение: 5б доп февр; КБК: 82100000000000000131; ОКТМО: 92701000</t>
  </si>
  <si>
    <t>ЛС: 000878; ФИО обучающегося: Нуртдинов Ибрагим Вадимович                       ; Назначение: 5б доп февр; КБК: 82100000000000000131; ОКТМО: 92701000</t>
  </si>
  <si>
    <t>ЛС: 000879; ФИО обучающегося: Садыйков Эмир Дамирович                           ; Назначение: 5б доп февр; КБК: 82100000000000000131; ОКТМО: 92701000</t>
  </si>
  <si>
    <t>ЛС: 000880; ФИО обучающегося: Саляхов Ибрахим Ленарович                         ; Назначение: 5б доп февр; КБК: 82100000000000000131; ОКТМО: 92701000</t>
  </si>
  <si>
    <t>ЛС: 000882; ФИО обучающегося: Усманов Султан Салаватович                        ; Назначение: 5б доп февр; КБК: 82100000000000000131; ОКТМО: 92701000</t>
  </si>
  <si>
    <t>ЛС: 000883; ФИО обучающегося: Хафизов Джамиль Ильшатович                        ; Назначение: 5б доп февр; КБК: 82100000000000000131; ОКТМО: 92701000</t>
  </si>
  <si>
    <t>Сумма: 4920 руб. 00 коп.</t>
  </si>
  <si>
    <t>ЛС: 000884; ФИО обучающегося: Хисамутдинов Карим Альфирович                     ; Назначение: 5б доп февр; КБК: 82100000000000000131; ОКТМО: 92701000</t>
  </si>
  <si>
    <t>ЛС: 000885; ФИО обучающегося: Шафигуллин Юсуф Радикович                         ; Назначение: 5б доп февр; КБК: 82100000000000000131; ОКТМО: 92701000</t>
  </si>
  <si>
    <t>ЛС: 000886; ФИО обучающегося: Щербицкий Ярослав Владимирович                    ; Назначение: 5б доп февр; КБК: 82100000000000000131; ОКТМО: 92701000</t>
  </si>
  <si>
    <t>март</t>
  </si>
  <si>
    <t>000881</t>
  </si>
  <si>
    <t xml:space="preserve">Сафиуллин Тимур Ильдарович                        </t>
  </si>
  <si>
    <t>5б доп 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</si>
</sst>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2</xdr:col>
      <xdr:colOff>51436</xdr:colOff>
      <xdr:row>537</xdr:row>
      <xdr:rowOff>127636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94485" cy="15944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26" headerRowDxfId="23" dataDxfId="21" totalsRowDxfId="19" headerRowBorderDxfId="22" tableBorderDxfId="20">
  <autoFilter ref="A6:H26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21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409</v>
      </c>
      <c r="B2" s="92" t="s">
        <v>410</v>
      </c>
      <c r="C2" s="92" t="s">
        <v>411</v>
      </c>
      <c r="D2" s="92" t="s">
        <v>473</v>
      </c>
      <c r="E2" s="93">
        <v>5970</v>
      </c>
      <c r="F2" s="98" t="str">
        <f>TRIM(A2)</f>
        <v>000865</v>
      </c>
      <c r="G2" s="31" t="str">
        <f t="shared" ref="G2:G46" si="0">B2</f>
        <v xml:space="preserve">Ахметжанов Камиль Алмазович                       </v>
      </c>
      <c r="H2" s="31" t="str">
        <f>CONCATENATE(TRIM(C2)," ",D2)</f>
        <v>5б доп март</v>
      </c>
      <c r="I2" s="94" t="s">
        <v>396</v>
      </c>
      <c r="J2" s="31">
        <v>92701000</v>
      </c>
      <c r="M2" s="31">
        <f t="shared" ref="M2:M63" si="1">E2</f>
        <v>5970</v>
      </c>
    </row>
    <row r="3" spans="1:13" x14ac:dyDescent="0.25">
      <c r="A3" s="92" t="s">
        <v>412</v>
      </c>
      <c r="B3" s="92" t="s">
        <v>413</v>
      </c>
      <c r="C3" s="92" t="s">
        <v>411</v>
      </c>
      <c r="D3" s="92" t="s">
        <v>473</v>
      </c>
      <c r="E3" s="93">
        <v>5970</v>
      </c>
      <c r="F3" s="98" t="str">
        <f t="shared" ref="F3:F66" si="2">TRIM(A3)</f>
        <v>000867</v>
      </c>
      <c r="G3" s="31" t="str">
        <f t="shared" si="0"/>
        <v xml:space="preserve">Бакиров Рустем Азатович                           </v>
      </c>
      <c r="H3" s="31" t="str">
        <f t="shared" ref="H3:H66" si="3">CONCATENATE(TRIM(C3)," ",D3)</f>
        <v>5б доп март</v>
      </c>
      <c r="I3" s="94" t="s">
        <v>396</v>
      </c>
      <c r="J3" s="31">
        <v>92701000</v>
      </c>
      <c r="M3" s="31">
        <f t="shared" si="1"/>
        <v>5970</v>
      </c>
    </row>
    <row r="4" spans="1:13" x14ac:dyDescent="0.25">
      <c r="A4" s="92" t="s">
        <v>414</v>
      </c>
      <c r="B4" s="92" t="s">
        <v>415</v>
      </c>
      <c r="C4" s="92" t="s">
        <v>411</v>
      </c>
      <c r="D4" s="92" t="s">
        <v>473</v>
      </c>
      <c r="E4" s="93">
        <v>41790</v>
      </c>
      <c r="F4" s="98" t="str">
        <f t="shared" si="2"/>
        <v>000868</v>
      </c>
      <c r="G4" s="31" t="str">
        <f t="shared" si="0"/>
        <v xml:space="preserve">Валиев Бахтияр Рустемович                         </v>
      </c>
      <c r="H4" s="31" t="str">
        <f t="shared" si="3"/>
        <v>5б доп март</v>
      </c>
      <c r="I4" s="94" t="s">
        <v>396</v>
      </c>
      <c r="J4" s="31">
        <v>92701000</v>
      </c>
      <c r="M4" s="31">
        <f t="shared" si="1"/>
        <v>41790</v>
      </c>
    </row>
    <row r="5" spans="1:13" x14ac:dyDescent="0.25">
      <c r="A5" s="92" t="s">
        <v>416</v>
      </c>
      <c r="B5" s="92" t="s">
        <v>417</v>
      </c>
      <c r="C5" s="92" t="s">
        <v>411</v>
      </c>
      <c r="D5" s="92" t="s">
        <v>473</v>
      </c>
      <c r="E5" s="93">
        <v>5970</v>
      </c>
      <c r="F5" s="98" t="str">
        <f t="shared" si="2"/>
        <v>000887</v>
      </c>
      <c r="G5" s="31" t="str">
        <f t="shared" si="0"/>
        <v xml:space="preserve">Галяветдинов Салим Айратович                      </v>
      </c>
      <c r="H5" s="31" t="str">
        <f t="shared" si="3"/>
        <v>5б доп март</v>
      </c>
      <c r="I5" s="94" t="s">
        <v>396</v>
      </c>
      <c r="J5" s="31">
        <v>92701000</v>
      </c>
      <c r="M5" s="31">
        <f t="shared" si="1"/>
        <v>5970</v>
      </c>
    </row>
    <row r="6" spans="1:13" x14ac:dyDescent="0.25">
      <c r="A6" s="92" t="s">
        <v>418</v>
      </c>
      <c r="B6" s="92" t="s">
        <v>419</v>
      </c>
      <c r="C6" s="92" t="s">
        <v>411</v>
      </c>
      <c r="D6" s="92" t="s">
        <v>473</v>
      </c>
      <c r="E6" s="93">
        <v>5970</v>
      </c>
      <c r="F6" s="98" t="str">
        <f t="shared" si="2"/>
        <v>000870</v>
      </c>
      <c r="G6" s="31" t="str">
        <f t="shared" si="0"/>
        <v xml:space="preserve">Гараев Саид Ильясович                             </v>
      </c>
      <c r="H6" s="31" t="str">
        <f t="shared" si="3"/>
        <v>5б доп март</v>
      </c>
      <c r="I6" s="94" t="s">
        <v>396</v>
      </c>
      <c r="J6" s="31">
        <v>92701000</v>
      </c>
      <c r="M6" s="31">
        <f t="shared" si="1"/>
        <v>5970</v>
      </c>
    </row>
    <row r="7" spans="1:13" x14ac:dyDescent="0.25">
      <c r="A7" s="92" t="s">
        <v>420</v>
      </c>
      <c r="B7" s="92" t="s">
        <v>421</v>
      </c>
      <c r="C7" s="92" t="s">
        <v>411</v>
      </c>
      <c r="D7" s="92" t="s">
        <v>473</v>
      </c>
      <c r="E7" s="93">
        <v>11940</v>
      </c>
      <c r="F7" s="98" t="str">
        <f t="shared" si="2"/>
        <v>000871</v>
      </c>
      <c r="G7" s="31" t="str">
        <f t="shared" si="0"/>
        <v xml:space="preserve">Гафиятов Кемаль Ренатович                         </v>
      </c>
      <c r="H7" s="31" t="str">
        <f t="shared" si="3"/>
        <v>5б доп март</v>
      </c>
      <c r="I7" s="94" t="s">
        <v>396</v>
      </c>
      <c r="J7" s="31">
        <v>92701000</v>
      </c>
      <c r="M7" s="31">
        <f t="shared" si="1"/>
        <v>11940</v>
      </c>
    </row>
    <row r="8" spans="1:13" x14ac:dyDescent="0.25">
      <c r="A8" s="92" t="s">
        <v>422</v>
      </c>
      <c r="B8" s="92" t="s">
        <v>423</v>
      </c>
      <c r="C8" s="92" t="s">
        <v>411</v>
      </c>
      <c r="D8" s="92" t="s">
        <v>473</v>
      </c>
      <c r="E8" s="93">
        <v>17910</v>
      </c>
      <c r="F8" s="98" t="str">
        <f t="shared" si="2"/>
        <v>000873</v>
      </c>
      <c r="G8" s="31" t="str">
        <f t="shared" si="0"/>
        <v xml:space="preserve">Железнов Глеб Андреевич                           </v>
      </c>
      <c r="H8" s="31" t="str">
        <f t="shared" si="3"/>
        <v>5б доп март</v>
      </c>
      <c r="I8" s="94" t="s">
        <v>396</v>
      </c>
      <c r="J8" s="31">
        <v>92701000</v>
      </c>
      <c r="M8" s="31">
        <f t="shared" si="1"/>
        <v>17910</v>
      </c>
    </row>
    <row r="9" spans="1:13" x14ac:dyDescent="0.25">
      <c r="A9" s="92" t="s">
        <v>424</v>
      </c>
      <c r="B9" s="92" t="s">
        <v>425</v>
      </c>
      <c r="C9" s="92" t="s">
        <v>411</v>
      </c>
      <c r="D9" s="92" t="s">
        <v>473</v>
      </c>
      <c r="E9" s="93">
        <v>5970</v>
      </c>
      <c r="F9" s="98" t="str">
        <f t="shared" si="2"/>
        <v>000874</v>
      </c>
      <c r="G9" s="31" t="str">
        <f t="shared" si="0"/>
        <v xml:space="preserve">Масленников Платон Алексеевич                     </v>
      </c>
      <c r="H9" s="31" t="str">
        <f t="shared" si="3"/>
        <v>5б доп март</v>
      </c>
      <c r="I9" s="94" t="s">
        <v>396</v>
      </c>
      <c r="J9" s="31">
        <v>92701000</v>
      </c>
      <c r="M9" s="31">
        <f t="shared" si="1"/>
        <v>5970</v>
      </c>
    </row>
    <row r="10" spans="1:13" x14ac:dyDescent="0.25">
      <c r="A10" s="92" t="s">
        <v>426</v>
      </c>
      <c r="B10" s="92" t="s">
        <v>427</v>
      </c>
      <c r="C10" s="92" t="s">
        <v>411</v>
      </c>
      <c r="D10" s="92" t="s">
        <v>473</v>
      </c>
      <c r="E10" s="93">
        <v>43790</v>
      </c>
      <c r="F10" s="98" t="str">
        <f t="shared" si="2"/>
        <v>000875</v>
      </c>
      <c r="G10" s="31" t="str">
        <f t="shared" si="0"/>
        <v xml:space="preserve">Махмутов Ахмад Ильясович                          </v>
      </c>
      <c r="H10" s="31" t="str">
        <f t="shared" si="3"/>
        <v>5б доп март</v>
      </c>
      <c r="I10" s="94" t="s">
        <v>396</v>
      </c>
      <c r="J10" s="31">
        <v>92701000</v>
      </c>
      <c r="M10" s="31">
        <f t="shared" si="1"/>
        <v>43790</v>
      </c>
    </row>
    <row r="11" spans="1:13" x14ac:dyDescent="0.25">
      <c r="A11" s="92" t="s">
        <v>428</v>
      </c>
      <c r="B11" s="92" t="s">
        <v>429</v>
      </c>
      <c r="C11" s="92" t="s">
        <v>411</v>
      </c>
      <c r="D11" s="92" t="s">
        <v>473</v>
      </c>
      <c r="E11" s="93">
        <v>5970</v>
      </c>
      <c r="F11" s="98" t="str">
        <f t="shared" si="2"/>
        <v>000876</v>
      </c>
      <c r="G11" s="31" t="str">
        <f t="shared" si="0"/>
        <v xml:space="preserve">Мухаметзянов Алим Айратович                       </v>
      </c>
      <c r="H11" s="31" t="str">
        <f t="shared" si="3"/>
        <v>5б доп март</v>
      </c>
      <c r="I11" s="94" t="s">
        <v>396</v>
      </c>
      <c r="J11" s="31">
        <v>92701000</v>
      </c>
      <c r="M11" s="31">
        <f t="shared" si="1"/>
        <v>5970</v>
      </c>
    </row>
    <row r="12" spans="1:13" x14ac:dyDescent="0.25">
      <c r="A12" s="92" t="s">
        <v>430</v>
      </c>
      <c r="B12" s="92" t="s">
        <v>431</v>
      </c>
      <c r="C12" s="92" t="s">
        <v>411</v>
      </c>
      <c r="D12" s="92" t="s">
        <v>473</v>
      </c>
      <c r="E12" s="93">
        <v>5970</v>
      </c>
      <c r="F12" s="98" t="str">
        <f t="shared" si="2"/>
        <v>000877</v>
      </c>
      <c r="G12" s="31" t="str">
        <f t="shared" si="0"/>
        <v xml:space="preserve">Мухлисов Азамат Рустамович                        </v>
      </c>
      <c r="H12" s="31" t="str">
        <f t="shared" si="3"/>
        <v>5б доп март</v>
      </c>
      <c r="I12" s="94" t="s">
        <v>396</v>
      </c>
      <c r="J12" s="31">
        <v>92701000</v>
      </c>
      <c r="M12" s="31">
        <f t="shared" si="1"/>
        <v>5970</v>
      </c>
    </row>
    <row r="13" spans="1:13" x14ac:dyDescent="0.25">
      <c r="A13" s="92" t="s">
        <v>432</v>
      </c>
      <c r="B13" s="92" t="s">
        <v>433</v>
      </c>
      <c r="C13" s="92" t="s">
        <v>411</v>
      </c>
      <c r="D13" s="92" t="s">
        <v>473</v>
      </c>
      <c r="E13" s="93">
        <v>11940</v>
      </c>
      <c r="F13" s="98" t="str">
        <f t="shared" si="2"/>
        <v>000878</v>
      </c>
      <c r="G13" s="31" t="str">
        <f t="shared" si="0"/>
        <v xml:space="preserve">Нуртдинов Ибрагим Вадимович                       </v>
      </c>
      <c r="H13" s="31" t="str">
        <f t="shared" si="3"/>
        <v>5б доп март</v>
      </c>
      <c r="I13" s="94" t="s">
        <v>396</v>
      </c>
      <c r="J13" s="31">
        <v>92701000</v>
      </c>
      <c r="M13" s="31">
        <f t="shared" si="1"/>
        <v>11940</v>
      </c>
    </row>
    <row r="14" spans="1:13" x14ac:dyDescent="0.25">
      <c r="A14" s="92" t="s">
        <v>434</v>
      </c>
      <c r="B14" s="92" t="s">
        <v>435</v>
      </c>
      <c r="C14" s="92" t="s">
        <v>411</v>
      </c>
      <c r="D14" s="92" t="s">
        <v>473</v>
      </c>
      <c r="E14" s="93">
        <v>5970</v>
      </c>
      <c r="F14" s="98" t="str">
        <f t="shared" si="2"/>
        <v>000879</v>
      </c>
      <c r="G14" s="31" t="str">
        <f t="shared" si="0"/>
        <v xml:space="preserve">Садыйков Эмир Дамирович                           </v>
      </c>
      <c r="H14" s="31" t="str">
        <f t="shared" si="3"/>
        <v>5б доп март</v>
      </c>
      <c r="I14" s="94" t="s">
        <v>396</v>
      </c>
      <c r="J14" s="31">
        <v>92701000</v>
      </c>
      <c r="M14" s="31">
        <f t="shared" si="1"/>
        <v>5970</v>
      </c>
    </row>
    <row r="15" spans="1:13" x14ac:dyDescent="0.25">
      <c r="A15" s="92" t="s">
        <v>436</v>
      </c>
      <c r="B15" s="92" t="s">
        <v>437</v>
      </c>
      <c r="C15" s="92" t="s">
        <v>411</v>
      </c>
      <c r="D15" s="92" t="s">
        <v>473</v>
      </c>
      <c r="E15" s="93">
        <v>5970</v>
      </c>
      <c r="F15" s="98" t="str">
        <f t="shared" si="2"/>
        <v>000880</v>
      </c>
      <c r="G15" s="31" t="str">
        <f t="shared" si="0"/>
        <v xml:space="preserve">Саляхов Ибрахим Ленарович                         </v>
      </c>
      <c r="H15" s="31" t="str">
        <f t="shared" si="3"/>
        <v>5б доп март</v>
      </c>
      <c r="I15" s="94" t="s">
        <v>396</v>
      </c>
      <c r="J15" s="31">
        <v>92701000</v>
      </c>
      <c r="M15" s="31">
        <f t="shared" si="1"/>
        <v>5970</v>
      </c>
    </row>
    <row r="16" spans="1:13" x14ac:dyDescent="0.25">
      <c r="A16" s="92" t="s">
        <v>474</v>
      </c>
      <c r="B16" s="92" t="s">
        <v>475</v>
      </c>
      <c r="C16" s="92" t="s">
        <v>411</v>
      </c>
      <c r="D16" s="92" t="s">
        <v>473</v>
      </c>
      <c r="E16" s="93">
        <v>5970</v>
      </c>
      <c r="F16" s="98" t="str">
        <f t="shared" si="2"/>
        <v>000881</v>
      </c>
      <c r="G16" s="31" t="str">
        <f t="shared" si="0"/>
        <v xml:space="preserve">Сафиуллин Тимур Ильдарович                        </v>
      </c>
      <c r="H16" s="31" t="str">
        <f t="shared" si="3"/>
        <v>5б доп март</v>
      </c>
      <c r="I16" s="94" t="s">
        <v>396</v>
      </c>
      <c r="J16" s="31">
        <v>92701000</v>
      </c>
      <c r="M16" s="31">
        <f t="shared" si="1"/>
        <v>5970</v>
      </c>
    </row>
    <row r="17" spans="1:13" x14ac:dyDescent="0.25">
      <c r="A17" s="92" t="s">
        <v>438</v>
      </c>
      <c r="B17" s="92" t="s">
        <v>439</v>
      </c>
      <c r="C17" s="92" t="s">
        <v>411</v>
      </c>
      <c r="D17" s="92" t="s">
        <v>473</v>
      </c>
      <c r="E17" s="93">
        <v>5970</v>
      </c>
      <c r="F17" s="98" t="str">
        <f t="shared" si="2"/>
        <v>000882</v>
      </c>
      <c r="G17" s="31" t="str">
        <f t="shared" si="0"/>
        <v xml:space="preserve">Усманов Султан Салаватович                        </v>
      </c>
      <c r="H17" s="31" t="str">
        <f t="shared" si="3"/>
        <v>5б доп март</v>
      </c>
      <c r="I17" s="94" t="s">
        <v>396</v>
      </c>
      <c r="J17" s="31">
        <v>92701000</v>
      </c>
      <c r="M17" s="31">
        <f t="shared" si="1"/>
        <v>5970</v>
      </c>
    </row>
    <row r="18" spans="1:13" x14ac:dyDescent="0.25">
      <c r="A18" s="92" t="s">
        <v>440</v>
      </c>
      <c r="B18" s="92" t="s">
        <v>441</v>
      </c>
      <c r="C18" s="92" t="s">
        <v>411</v>
      </c>
      <c r="D18" s="92" t="s">
        <v>473</v>
      </c>
      <c r="E18" s="93">
        <v>9840</v>
      </c>
      <c r="F18" s="98" t="str">
        <f t="shared" si="2"/>
        <v>000883</v>
      </c>
      <c r="G18" s="31" t="str">
        <f t="shared" si="0"/>
        <v xml:space="preserve">Хафизов Джамиль Ильшатович                        </v>
      </c>
      <c r="H18" s="31" t="str">
        <f t="shared" si="3"/>
        <v>5б доп март</v>
      </c>
      <c r="I18" s="94" t="s">
        <v>396</v>
      </c>
      <c r="J18" s="31">
        <v>92701000</v>
      </c>
      <c r="M18" s="31">
        <f t="shared" si="1"/>
        <v>9840</v>
      </c>
    </row>
    <row r="19" spans="1:13" x14ac:dyDescent="0.25">
      <c r="A19" s="92" t="s">
        <v>442</v>
      </c>
      <c r="B19" s="92" t="s">
        <v>443</v>
      </c>
      <c r="C19" s="92" t="s">
        <v>411</v>
      </c>
      <c r="D19" s="92" t="s">
        <v>473</v>
      </c>
      <c r="E19" s="93">
        <v>17910</v>
      </c>
      <c r="F19" s="98" t="str">
        <f t="shared" si="2"/>
        <v>000884</v>
      </c>
      <c r="G19" s="31" t="str">
        <f t="shared" si="0"/>
        <v xml:space="preserve">Хисамутдинов Карим Альфирович                     </v>
      </c>
      <c r="H19" s="31" t="str">
        <f t="shared" si="3"/>
        <v>5б доп март</v>
      </c>
      <c r="I19" s="94" t="s">
        <v>396</v>
      </c>
      <c r="J19" s="31">
        <v>92701000</v>
      </c>
      <c r="M19" s="31">
        <f t="shared" si="1"/>
        <v>17910</v>
      </c>
    </row>
    <row r="20" spans="1:13" x14ac:dyDescent="0.25">
      <c r="A20" s="92" t="s">
        <v>444</v>
      </c>
      <c r="B20" s="92" t="s">
        <v>445</v>
      </c>
      <c r="C20" s="92" t="s">
        <v>411</v>
      </c>
      <c r="D20" s="92" t="s">
        <v>473</v>
      </c>
      <c r="E20" s="93">
        <v>5970</v>
      </c>
      <c r="F20" s="98" t="str">
        <f t="shared" si="2"/>
        <v>000885</v>
      </c>
      <c r="G20" s="31" t="str">
        <f t="shared" si="0"/>
        <v xml:space="preserve">Шафигуллин Юсуф Радикович                         </v>
      </c>
      <c r="H20" s="31" t="str">
        <f t="shared" si="3"/>
        <v>5б доп март</v>
      </c>
      <c r="I20" s="94" t="s">
        <v>396</v>
      </c>
      <c r="J20" s="31">
        <v>92701000</v>
      </c>
      <c r="M20" s="31">
        <f t="shared" si="1"/>
        <v>5970</v>
      </c>
    </row>
    <row r="21" spans="1:13" x14ac:dyDescent="0.25">
      <c r="A21" s="92" t="s">
        <v>446</v>
      </c>
      <c r="B21" s="92" t="s">
        <v>447</v>
      </c>
      <c r="C21" s="92" t="s">
        <v>411</v>
      </c>
      <c r="D21" s="92" t="s">
        <v>473</v>
      </c>
      <c r="E21" s="93">
        <v>5970</v>
      </c>
      <c r="F21" s="98" t="str">
        <f t="shared" si="2"/>
        <v>000886</v>
      </c>
      <c r="G21" s="31" t="str">
        <f t="shared" si="0"/>
        <v xml:space="preserve">Щербицкий Ярослав Владимирович                    </v>
      </c>
      <c r="H21" s="31" t="str">
        <f t="shared" si="3"/>
        <v>5б доп март</v>
      </c>
      <c r="I21" s="94" t="s">
        <v>396</v>
      </c>
      <c r="J21" s="31">
        <v>92701000</v>
      </c>
      <c r="M21" s="31">
        <f t="shared" si="1"/>
        <v>5970</v>
      </c>
    </row>
    <row r="22" spans="1:13" x14ac:dyDescent="0.25">
      <c r="A22" s="92" t="s">
        <v>399</v>
      </c>
      <c r="B22" s="92" t="s">
        <v>400</v>
      </c>
      <c r="C22" s="92" t="s">
        <v>398</v>
      </c>
      <c r="D22" s="92" t="s">
        <v>397</v>
      </c>
      <c r="E22" s="93">
        <v>8540</v>
      </c>
      <c r="F22" s="98" t="str">
        <f t="shared" si="2"/>
        <v>00342</v>
      </c>
      <c r="G22" s="31" t="str">
        <f t="shared" si="0"/>
        <v xml:space="preserve">Хакимов Азат Ильнурович                           </v>
      </c>
      <c r="H22" s="31" t="str">
        <f t="shared" si="3"/>
        <v>10а доп сент-окт</v>
      </c>
      <c r="I22" s="94" t="s">
        <v>396</v>
      </c>
      <c r="J22" s="31">
        <v>92701000</v>
      </c>
      <c r="M22" s="31">
        <f t="shared" si="1"/>
        <v>8540</v>
      </c>
    </row>
    <row r="23" spans="1:13" x14ac:dyDescent="0.25">
      <c r="A23" s="92" t="s">
        <v>401</v>
      </c>
      <c r="B23" s="92" t="s">
        <v>402</v>
      </c>
      <c r="C23" s="92" t="s">
        <v>398</v>
      </c>
      <c r="D23" s="92" t="s">
        <v>397</v>
      </c>
      <c r="E23" s="93">
        <v>8540</v>
      </c>
      <c r="F23" s="98" t="str">
        <f t="shared" si="2"/>
        <v>00343</v>
      </c>
      <c r="G23" s="31" t="str">
        <f t="shared" si="0"/>
        <v xml:space="preserve">Хафизов Рустам Наилевич                           </v>
      </c>
      <c r="H23" s="31" t="str">
        <f t="shared" si="3"/>
        <v>10а доп сент-окт</v>
      </c>
      <c r="I23" s="94" t="s">
        <v>396</v>
      </c>
      <c r="J23" s="31">
        <v>92701000</v>
      </c>
      <c r="M23" s="31">
        <f t="shared" si="1"/>
        <v>8540</v>
      </c>
    </row>
    <row r="24" spans="1:13" x14ac:dyDescent="0.25">
      <c r="A24" s="92" t="s">
        <v>403</v>
      </c>
      <c r="B24" s="92" t="s">
        <v>404</v>
      </c>
      <c r="C24" s="92" t="s">
        <v>398</v>
      </c>
      <c r="D24" s="92" t="s">
        <v>397</v>
      </c>
      <c r="E24" s="93">
        <v>8540</v>
      </c>
      <c r="F24" s="98" t="str">
        <f t="shared" si="2"/>
        <v>00344</v>
      </c>
      <c r="G24" s="31" t="str">
        <f t="shared" si="0"/>
        <v xml:space="preserve">Шагимарданов Амир Айдарович                       </v>
      </c>
      <c r="H24" s="31" t="str">
        <f t="shared" si="3"/>
        <v>10а доп сент-окт</v>
      </c>
      <c r="I24" s="94" t="s">
        <v>396</v>
      </c>
      <c r="J24" s="31">
        <v>92701000</v>
      </c>
      <c r="M24" s="31">
        <f t="shared" si="1"/>
        <v>8540</v>
      </c>
    </row>
    <row r="25" spans="1:13" x14ac:dyDescent="0.25">
      <c r="A25" s="92" t="s">
        <v>405</v>
      </c>
      <c r="B25" s="92" t="s">
        <v>406</v>
      </c>
      <c r="C25" s="92" t="s">
        <v>398</v>
      </c>
      <c r="D25" s="92" t="s">
        <v>397</v>
      </c>
      <c r="E25" s="93">
        <v>3814.58</v>
      </c>
      <c r="F25" s="98" t="str">
        <f t="shared" si="2"/>
        <v>00345</v>
      </c>
      <c r="G25" s="31" t="str">
        <f t="shared" si="0"/>
        <v xml:space="preserve">Шаймарданов Айрат Ильшатович                      </v>
      </c>
      <c r="H25" s="31" t="str">
        <f t="shared" si="3"/>
        <v>10а доп сент-окт</v>
      </c>
      <c r="I25" s="94" t="s">
        <v>396</v>
      </c>
      <c r="J25" s="31">
        <v>92701000</v>
      </c>
      <c r="M25" s="31">
        <f t="shared" si="1"/>
        <v>3814.58</v>
      </c>
    </row>
    <row r="26" spans="1:13" x14ac:dyDescent="0.25">
      <c r="A26" s="92" t="s">
        <v>407</v>
      </c>
      <c r="B26" s="92" t="s">
        <v>408</v>
      </c>
      <c r="C26" s="92" t="s">
        <v>398</v>
      </c>
      <c r="D26" s="92" t="s">
        <v>397</v>
      </c>
      <c r="E26" s="93">
        <v>8540</v>
      </c>
      <c r="F26" s="98" t="str">
        <f t="shared" si="2"/>
        <v>00347</v>
      </c>
      <c r="G26" s="31" t="str">
        <f t="shared" si="0"/>
        <v xml:space="preserve">Юсубов Мухаммад Робилевич                         </v>
      </c>
      <c r="H26" s="31" t="str">
        <f t="shared" si="3"/>
        <v>10а доп сент-окт</v>
      </c>
      <c r="I26" s="94" t="s">
        <v>396</v>
      </c>
      <c r="J26" s="31">
        <v>92701000</v>
      </c>
      <c r="M26" s="31">
        <f t="shared" si="1"/>
        <v>8540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396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396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396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26"/>
  <sheetViews>
    <sheetView tabSelected="1" workbookViewId="0">
      <pane ySplit="6" topLeftCell="A7" activePane="bottomLeft" state="frozen"/>
      <selection activeCell="A2" sqref="A2"/>
      <selection pane="bottomLeft" activeCell="A7" sqref="A7:H26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1657032924_03234643927010001100__22.03.2023.TXT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232730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20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409</v>
      </c>
      <c r="B7" s="84" t="s">
        <v>410</v>
      </c>
      <c r="C7" s="84" t="s">
        <v>476</v>
      </c>
      <c r="D7" s="84" t="s">
        <v>396</v>
      </c>
      <c r="E7" s="87">
        <v>92701000</v>
      </c>
      <c r="F7" s="84"/>
      <c r="G7" s="84"/>
      <c r="H7" s="86">
        <v>5970</v>
      </c>
    </row>
    <row r="8" spans="1:8" x14ac:dyDescent="0.25">
      <c r="A8" s="95" t="s">
        <v>412</v>
      </c>
      <c r="B8" s="95" t="s">
        <v>413</v>
      </c>
      <c r="C8" s="95" t="s">
        <v>476</v>
      </c>
      <c r="D8" s="95" t="s">
        <v>396</v>
      </c>
      <c r="E8" s="95">
        <v>92701000</v>
      </c>
      <c r="F8" s="95"/>
      <c r="G8" s="95"/>
      <c r="H8" s="96">
        <v>5970</v>
      </c>
    </row>
    <row r="9" spans="1:8" x14ac:dyDescent="0.25">
      <c r="A9" s="95" t="s">
        <v>414</v>
      </c>
      <c r="B9" s="95" t="s">
        <v>415</v>
      </c>
      <c r="C9" s="95" t="s">
        <v>476</v>
      </c>
      <c r="D9" s="95" t="s">
        <v>396</v>
      </c>
      <c r="E9" s="95">
        <v>92701000</v>
      </c>
      <c r="F9" s="95"/>
      <c r="G9" s="95"/>
      <c r="H9" s="96">
        <v>41790</v>
      </c>
    </row>
    <row r="10" spans="1:8" x14ac:dyDescent="0.25">
      <c r="A10" s="95" t="s">
        <v>416</v>
      </c>
      <c r="B10" s="95" t="s">
        <v>417</v>
      </c>
      <c r="C10" s="95" t="s">
        <v>476</v>
      </c>
      <c r="D10" s="95" t="s">
        <v>396</v>
      </c>
      <c r="E10" s="95">
        <v>92701000</v>
      </c>
      <c r="F10" s="95"/>
      <c r="G10" s="95"/>
      <c r="H10" s="96">
        <v>5970</v>
      </c>
    </row>
    <row r="11" spans="1:8" x14ac:dyDescent="0.25">
      <c r="A11" s="95" t="s">
        <v>418</v>
      </c>
      <c r="B11" s="95" t="s">
        <v>419</v>
      </c>
      <c r="C11" s="95" t="s">
        <v>476</v>
      </c>
      <c r="D11" s="95" t="s">
        <v>396</v>
      </c>
      <c r="E11" s="95">
        <v>92701000</v>
      </c>
      <c r="F11" s="95"/>
      <c r="G11" s="95"/>
      <c r="H11" s="96">
        <v>5970</v>
      </c>
    </row>
    <row r="12" spans="1:8" x14ac:dyDescent="0.25">
      <c r="A12" s="95" t="s">
        <v>420</v>
      </c>
      <c r="B12" s="95" t="s">
        <v>421</v>
      </c>
      <c r="C12" s="95" t="s">
        <v>476</v>
      </c>
      <c r="D12" s="95" t="s">
        <v>396</v>
      </c>
      <c r="E12" s="95">
        <v>92701000</v>
      </c>
      <c r="F12" s="95"/>
      <c r="G12" s="95"/>
      <c r="H12" s="96">
        <v>11940</v>
      </c>
    </row>
    <row r="13" spans="1:8" x14ac:dyDescent="0.25">
      <c r="A13" s="95" t="s">
        <v>422</v>
      </c>
      <c r="B13" s="95" t="s">
        <v>423</v>
      </c>
      <c r="C13" s="95" t="s">
        <v>476</v>
      </c>
      <c r="D13" s="95" t="s">
        <v>396</v>
      </c>
      <c r="E13" s="95">
        <v>92701000</v>
      </c>
      <c r="F13" s="95"/>
      <c r="G13" s="95"/>
      <c r="H13" s="96">
        <v>17910</v>
      </c>
    </row>
    <row r="14" spans="1:8" x14ac:dyDescent="0.25">
      <c r="A14" s="95" t="s">
        <v>424</v>
      </c>
      <c r="B14" s="95" t="s">
        <v>425</v>
      </c>
      <c r="C14" s="95" t="s">
        <v>476</v>
      </c>
      <c r="D14" s="95" t="s">
        <v>396</v>
      </c>
      <c r="E14" s="95">
        <v>92701000</v>
      </c>
      <c r="F14" s="95"/>
      <c r="G14" s="95"/>
      <c r="H14" s="96">
        <v>5970</v>
      </c>
    </row>
    <row r="15" spans="1:8" x14ac:dyDescent="0.25">
      <c r="A15" s="95" t="s">
        <v>426</v>
      </c>
      <c r="B15" s="95" t="s">
        <v>427</v>
      </c>
      <c r="C15" s="95" t="s">
        <v>476</v>
      </c>
      <c r="D15" s="95" t="s">
        <v>396</v>
      </c>
      <c r="E15" s="95">
        <v>92701000</v>
      </c>
      <c r="F15" s="95"/>
      <c r="G15" s="95"/>
      <c r="H15" s="96">
        <v>43790</v>
      </c>
    </row>
    <row r="16" spans="1:8" x14ac:dyDescent="0.25">
      <c r="A16" s="95" t="s">
        <v>428</v>
      </c>
      <c r="B16" s="95" t="s">
        <v>429</v>
      </c>
      <c r="C16" s="95" t="s">
        <v>476</v>
      </c>
      <c r="D16" s="95" t="s">
        <v>396</v>
      </c>
      <c r="E16" s="95">
        <v>92701000</v>
      </c>
      <c r="F16" s="95"/>
      <c r="G16" s="95"/>
      <c r="H16" s="96">
        <v>5970</v>
      </c>
    </row>
    <row r="17" spans="1:8" x14ac:dyDescent="0.25">
      <c r="A17" s="95" t="s">
        <v>430</v>
      </c>
      <c r="B17" s="95" t="s">
        <v>431</v>
      </c>
      <c r="C17" s="95" t="s">
        <v>476</v>
      </c>
      <c r="D17" s="95" t="s">
        <v>396</v>
      </c>
      <c r="E17" s="95">
        <v>92701000</v>
      </c>
      <c r="F17" s="95"/>
      <c r="G17" s="95"/>
      <c r="H17" s="96">
        <v>5970</v>
      </c>
    </row>
    <row r="18" spans="1:8" x14ac:dyDescent="0.25">
      <c r="A18" s="95" t="s">
        <v>432</v>
      </c>
      <c r="B18" s="95" t="s">
        <v>433</v>
      </c>
      <c r="C18" s="95" t="s">
        <v>476</v>
      </c>
      <c r="D18" s="95" t="s">
        <v>396</v>
      </c>
      <c r="E18" s="95">
        <v>92701000</v>
      </c>
      <c r="F18" s="95"/>
      <c r="G18" s="95"/>
      <c r="H18" s="96">
        <v>11940</v>
      </c>
    </row>
    <row r="19" spans="1:8" x14ac:dyDescent="0.25">
      <c r="A19" s="95" t="s">
        <v>434</v>
      </c>
      <c r="B19" s="95" t="s">
        <v>435</v>
      </c>
      <c r="C19" s="95" t="s">
        <v>476</v>
      </c>
      <c r="D19" s="95" t="s">
        <v>396</v>
      </c>
      <c r="E19" s="95">
        <v>92701000</v>
      </c>
      <c r="F19" s="95"/>
      <c r="G19" s="95"/>
      <c r="H19" s="96">
        <v>5970</v>
      </c>
    </row>
    <row r="20" spans="1:8" x14ac:dyDescent="0.25">
      <c r="A20" s="95" t="s">
        <v>436</v>
      </c>
      <c r="B20" s="95" t="s">
        <v>437</v>
      </c>
      <c r="C20" s="95" t="s">
        <v>476</v>
      </c>
      <c r="D20" s="95" t="s">
        <v>396</v>
      </c>
      <c r="E20" s="95">
        <v>92701000</v>
      </c>
      <c r="F20" s="95"/>
      <c r="G20" s="95"/>
      <c r="H20" s="96">
        <v>5970</v>
      </c>
    </row>
    <row r="21" spans="1:8" x14ac:dyDescent="0.25">
      <c r="A21" s="95" t="s">
        <v>474</v>
      </c>
      <c r="B21" s="95" t="s">
        <v>475</v>
      </c>
      <c r="C21" s="95" t="s">
        <v>476</v>
      </c>
      <c r="D21" s="95" t="s">
        <v>396</v>
      </c>
      <c r="E21" s="95">
        <v>92701000</v>
      </c>
      <c r="F21" s="95"/>
      <c r="G21" s="95"/>
      <c r="H21" s="96">
        <v>5970</v>
      </c>
    </row>
    <row r="22" spans="1:8" x14ac:dyDescent="0.25">
      <c r="A22" s="95" t="s">
        <v>438</v>
      </c>
      <c r="B22" s="95" t="s">
        <v>439</v>
      </c>
      <c r="C22" s="95" t="s">
        <v>476</v>
      </c>
      <c r="D22" s="95" t="s">
        <v>396</v>
      </c>
      <c r="E22" s="95">
        <v>92701000</v>
      </c>
      <c r="F22" s="95"/>
      <c r="G22" s="95"/>
      <c r="H22" s="96">
        <v>5970</v>
      </c>
    </row>
    <row r="23" spans="1:8" x14ac:dyDescent="0.25">
      <c r="A23" s="95" t="s">
        <v>440</v>
      </c>
      <c r="B23" s="95" t="s">
        <v>441</v>
      </c>
      <c r="C23" s="95" t="s">
        <v>476</v>
      </c>
      <c r="D23" s="95" t="s">
        <v>396</v>
      </c>
      <c r="E23" s="95">
        <v>92701000</v>
      </c>
      <c r="F23" s="95"/>
      <c r="G23" s="95"/>
      <c r="H23" s="96">
        <v>9840</v>
      </c>
    </row>
    <row r="24" spans="1:8" x14ac:dyDescent="0.25">
      <c r="A24" s="95" t="s">
        <v>442</v>
      </c>
      <c r="B24" s="95" t="s">
        <v>443</v>
      </c>
      <c r="C24" s="95" t="s">
        <v>476</v>
      </c>
      <c r="D24" s="95" t="s">
        <v>396</v>
      </c>
      <c r="E24" s="95">
        <v>92701000</v>
      </c>
      <c r="F24" s="95"/>
      <c r="G24" s="95"/>
      <c r="H24" s="96">
        <v>17910</v>
      </c>
    </row>
    <row r="25" spans="1:8" x14ac:dyDescent="0.25">
      <c r="A25" s="95" t="s">
        <v>444</v>
      </c>
      <c r="B25" s="95" t="s">
        <v>445</v>
      </c>
      <c r="C25" s="95" t="s">
        <v>476</v>
      </c>
      <c r="D25" s="95" t="s">
        <v>396</v>
      </c>
      <c r="E25" s="95">
        <v>92701000</v>
      </c>
      <c r="F25" s="95"/>
      <c r="G25" s="95"/>
      <c r="H25" s="96">
        <v>5970</v>
      </c>
    </row>
    <row r="26" spans="1:8" hidden="1" x14ac:dyDescent="0.25">
      <c r="A26" s="95" t="s">
        <v>446</v>
      </c>
      <c r="B26" s="95" t="s">
        <v>447</v>
      </c>
      <c r="C26" s="95" t="s">
        <v>476</v>
      </c>
      <c r="D26" s="95" t="s">
        <v>396</v>
      </c>
      <c r="E26" s="95">
        <v>92701000</v>
      </c>
      <c r="F26" s="95"/>
      <c r="G26" s="95"/>
      <c r="H26" s="96">
        <v>5970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26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26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26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26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26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 t="str">
        <f>"ИНН "&amp;INN&amp;", БИК "&amp;BIC&amp;", Р/С "&amp;PersonalAcc</f>
        <v>ИНН 1657032924, БИК 019205400, Р/С 03234643927010001100</v>
      </c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 t="str">
        <f>"ИНН "&amp;INN&amp;", БИК "&amp;BIC&amp;", Р/С "&amp;PersonalAcc</f>
        <v>ИНН 1657032924, БИК 019205400, Р/С 03234643927010001100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 t="str">
        <f>"ИНН "&amp;INN&amp;", БИК "&amp;BIC&amp;", Р/С "&amp;PersonalAcc</f>
        <v>ИНН 1657032924, БИК 019205400, Р/С 03234643927010001100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 t="str">
        <f>"ИНН "&amp;INN&amp;", БИК "&amp;BIC&amp;", Р/С "&amp;PersonalAcc</f>
        <v>ИНН 1657032924, БИК 019205400, Р/С 03234643927010001100</v>
      </c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 t="str">
        <f>"ИНН "&amp;INN&amp;", БИК "&amp;BIC&amp;", Р/С "&amp;PersonalAcc</f>
        <v>ИНН 1657032924, БИК 019205400, Р/С 03234643927010001100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 t="str">
        <f>"ИНН "&amp;INN&amp;", БИК "&amp;BIC&amp;", Р/С "&amp;PersonalAcc</f>
        <v>ИНН 1657032924, БИК 019205400, Р/С 03234643927010001100</v>
      </c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/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540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451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448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451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448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452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448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452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448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453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454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453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454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455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448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455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448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456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448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456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448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457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448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457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448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458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449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458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449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459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448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459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448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460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461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460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461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462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448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462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448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463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448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463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448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464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448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464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448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465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448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465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448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466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448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466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448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467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448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467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448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468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469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468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469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470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449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470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449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471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449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471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449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472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448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472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448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450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449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450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449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</sheetData>
  <mergeCells count="20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513:C513"/>
    <mergeCell ref="A540:C540"/>
    <mergeCell ref="A351:C351"/>
    <mergeCell ref="A378:C378"/>
    <mergeCell ref="A405:C405"/>
    <mergeCell ref="A432:C432"/>
    <mergeCell ref="A459:C459"/>
    <mergeCell ref="A486:C486"/>
  </mergeCells>
  <pageMargins left="0.19685039370078741" right="0.39370078740157483" top="0.39370078740157483" bottom="0.59055118110236227" header="0" footer="0"/>
  <pageSetup paperSize="9" fitToHeight="10" orientation="portrait" r:id="rId1"/>
  <rowBreaks count="20" manualBreakCount="20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5" t="s">
        <v>128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5" t="s">
        <v>129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37" t="s">
        <v>134</v>
      </c>
      <c r="BO5" s="46"/>
      <c r="BP5" s="52"/>
      <c r="BQ5" s="52"/>
      <c r="BR5" s="52"/>
      <c r="BZ5" s="120" t="s">
        <v>153</v>
      </c>
      <c r="CA5" s="121"/>
      <c r="CB5" s="121"/>
      <c r="CC5" s="121"/>
      <c r="CD5" s="121"/>
      <c r="CE5" s="121"/>
      <c r="CF5" s="121"/>
      <c r="CG5" s="121"/>
      <c r="CH5" s="121"/>
      <c r="CI5" s="122"/>
      <c r="CJ5" s="120" t="s">
        <v>154</v>
      </c>
      <c r="CK5" s="121"/>
      <c r="CL5" s="121"/>
      <c r="CM5" s="121"/>
      <c r="CN5" s="121"/>
      <c r="CO5" s="121"/>
      <c r="CP5" s="122"/>
      <c r="CQ5" s="120" t="s">
        <v>155</v>
      </c>
      <c r="CR5" s="121"/>
      <c r="CS5" s="121"/>
      <c r="CT5" s="121"/>
      <c r="CU5" s="121"/>
      <c r="CV5" s="121"/>
      <c r="CW5" s="121"/>
      <c r="CX5" s="121"/>
      <c r="CY5" s="122"/>
      <c r="CZ5" s="120" t="s">
        <v>156</v>
      </c>
      <c r="DA5" s="121"/>
      <c r="DB5" s="121"/>
      <c r="DC5" s="121"/>
      <c r="DD5" s="121"/>
      <c r="DE5" s="121"/>
      <c r="DF5" s="121"/>
      <c r="DG5" s="121"/>
      <c r="DH5" s="122"/>
      <c r="DI5" s="120" t="s">
        <v>157</v>
      </c>
      <c r="DJ5" s="121"/>
      <c r="DK5" s="121"/>
      <c r="DL5" s="121"/>
      <c r="DM5" s="121"/>
      <c r="DN5" s="121"/>
      <c r="DO5" s="121"/>
      <c r="DP5" s="122"/>
      <c r="DQ5" s="120" t="s">
        <v>158</v>
      </c>
      <c r="DR5" s="121"/>
      <c r="DS5" s="121"/>
      <c r="DT5" s="121"/>
      <c r="DU5" s="121"/>
      <c r="DV5" s="121"/>
      <c r="DW5" s="121"/>
      <c r="DX5" s="122"/>
      <c r="DY5" s="120" t="s">
        <v>159</v>
      </c>
      <c r="DZ5" s="121"/>
      <c r="EA5" s="121"/>
      <c r="EB5" s="121"/>
      <c r="EC5" s="121"/>
      <c r="ED5" s="121"/>
      <c r="EE5" s="121"/>
      <c r="EF5" s="121"/>
      <c r="EG5" s="121"/>
      <c r="EH5" s="122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23"/>
      <c r="CA6" s="124"/>
      <c r="CB6" s="124"/>
      <c r="CC6" s="124"/>
      <c r="CD6" s="124"/>
      <c r="CE6" s="124"/>
      <c r="CF6" s="124"/>
      <c r="CG6" s="124"/>
      <c r="CH6" s="124"/>
      <c r="CI6" s="125"/>
      <c r="CJ6" s="123"/>
      <c r="CK6" s="124"/>
      <c r="CL6" s="124"/>
      <c r="CM6" s="124"/>
      <c r="CN6" s="124"/>
      <c r="CO6" s="124"/>
      <c r="CP6" s="125"/>
      <c r="CQ6" s="123"/>
      <c r="CR6" s="124"/>
      <c r="CS6" s="124"/>
      <c r="CT6" s="124"/>
      <c r="CU6" s="124"/>
      <c r="CV6" s="124"/>
      <c r="CW6" s="124"/>
      <c r="CX6" s="124"/>
      <c r="CY6" s="125"/>
      <c r="CZ6" s="123"/>
      <c r="DA6" s="124"/>
      <c r="DB6" s="124"/>
      <c r="DC6" s="124"/>
      <c r="DD6" s="124"/>
      <c r="DE6" s="124"/>
      <c r="DF6" s="124"/>
      <c r="DG6" s="124"/>
      <c r="DH6" s="125"/>
      <c r="DI6" s="123"/>
      <c r="DJ6" s="124"/>
      <c r="DK6" s="124"/>
      <c r="DL6" s="124"/>
      <c r="DM6" s="124"/>
      <c r="DN6" s="124"/>
      <c r="DO6" s="124"/>
      <c r="DP6" s="125"/>
      <c r="DQ6" s="123"/>
      <c r="DR6" s="124"/>
      <c r="DS6" s="124"/>
      <c r="DT6" s="124"/>
      <c r="DU6" s="124"/>
      <c r="DV6" s="124"/>
      <c r="DW6" s="124"/>
      <c r="DX6" s="125"/>
      <c r="DY6" s="123"/>
      <c r="DZ6" s="124"/>
      <c r="EA6" s="124"/>
      <c r="EB6" s="124"/>
      <c r="EC6" s="124"/>
      <c r="ED6" s="124"/>
      <c r="EE6" s="124"/>
      <c r="EF6" s="124"/>
      <c r="EG6" s="124"/>
      <c r="EH6" s="125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O7" s="46"/>
      <c r="BZ7" s="123"/>
      <c r="CA7" s="124"/>
      <c r="CB7" s="124"/>
      <c r="CC7" s="124"/>
      <c r="CD7" s="124"/>
      <c r="CE7" s="124"/>
      <c r="CF7" s="124"/>
      <c r="CG7" s="124"/>
      <c r="CH7" s="124"/>
      <c r="CI7" s="125"/>
      <c r="CJ7" s="123"/>
      <c r="CK7" s="124"/>
      <c r="CL7" s="124"/>
      <c r="CM7" s="124"/>
      <c r="CN7" s="124"/>
      <c r="CO7" s="124"/>
      <c r="CP7" s="125"/>
      <c r="CQ7" s="123"/>
      <c r="CR7" s="124"/>
      <c r="CS7" s="124"/>
      <c r="CT7" s="124"/>
      <c r="CU7" s="124"/>
      <c r="CV7" s="124"/>
      <c r="CW7" s="124"/>
      <c r="CX7" s="124"/>
      <c r="CY7" s="125"/>
      <c r="CZ7" s="123"/>
      <c r="DA7" s="124"/>
      <c r="DB7" s="124"/>
      <c r="DC7" s="124"/>
      <c r="DD7" s="124"/>
      <c r="DE7" s="124"/>
      <c r="DF7" s="124"/>
      <c r="DG7" s="124"/>
      <c r="DH7" s="125"/>
      <c r="DI7" s="123"/>
      <c r="DJ7" s="124"/>
      <c r="DK7" s="124"/>
      <c r="DL7" s="124"/>
      <c r="DM7" s="124"/>
      <c r="DN7" s="124"/>
      <c r="DO7" s="124"/>
      <c r="DP7" s="125"/>
      <c r="DQ7" s="123"/>
      <c r="DR7" s="124"/>
      <c r="DS7" s="124"/>
      <c r="DT7" s="124"/>
      <c r="DU7" s="124"/>
      <c r="DV7" s="124"/>
      <c r="DW7" s="124"/>
      <c r="DX7" s="125"/>
      <c r="DY7" s="123"/>
      <c r="DZ7" s="124"/>
      <c r="EA7" s="124"/>
      <c r="EB7" s="124"/>
      <c r="EC7" s="124"/>
      <c r="ED7" s="124"/>
      <c r="EE7" s="124"/>
      <c r="EF7" s="124"/>
      <c r="EG7" s="124"/>
      <c r="EH7" s="125"/>
    </row>
    <row r="8" spans="1:167" ht="11.25" customHeight="1" x14ac:dyDescent="0.2">
      <c r="A8" s="154"/>
      <c r="B8" s="154"/>
      <c r="C8" s="154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O8" s="46"/>
      <c r="BZ8" s="126"/>
      <c r="CA8" s="127"/>
      <c r="CB8" s="127"/>
      <c r="CC8" s="127"/>
      <c r="CD8" s="127"/>
      <c r="CE8" s="127"/>
      <c r="CF8" s="127"/>
      <c r="CG8" s="127"/>
      <c r="CH8" s="127"/>
      <c r="CI8" s="128"/>
      <c r="CJ8" s="126"/>
      <c r="CK8" s="127"/>
      <c r="CL8" s="127"/>
      <c r="CM8" s="127"/>
      <c r="CN8" s="127"/>
      <c r="CO8" s="127"/>
      <c r="CP8" s="128"/>
      <c r="CQ8" s="126"/>
      <c r="CR8" s="127"/>
      <c r="CS8" s="127"/>
      <c r="CT8" s="127"/>
      <c r="CU8" s="127"/>
      <c r="CV8" s="127"/>
      <c r="CW8" s="127"/>
      <c r="CX8" s="127"/>
      <c r="CY8" s="128"/>
      <c r="CZ8" s="126"/>
      <c r="DA8" s="127"/>
      <c r="DB8" s="127"/>
      <c r="DC8" s="127"/>
      <c r="DD8" s="127"/>
      <c r="DE8" s="127"/>
      <c r="DF8" s="127"/>
      <c r="DG8" s="127"/>
      <c r="DH8" s="128"/>
      <c r="DI8" s="126"/>
      <c r="DJ8" s="127"/>
      <c r="DK8" s="127"/>
      <c r="DL8" s="127"/>
      <c r="DM8" s="127"/>
      <c r="DN8" s="127"/>
      <c r="DO8" s="127"/>
      <c r="DP8" s="128"/>
      <c r="DQ8" s="126"/>
      <c r="DR8" s="127"/>
      <c r="DS8" s="127"/>
      <c r="DT8" s="127"/>
      <c r="DU8" s="127"/>
      <c r="DV8" s="127"/>
      <c r="DW8" s="127"/>
      <c r="DX8" s="128"/>
      <c r="DY8" s="126"/>
      <c r="DZ8" s="127"/>
      <c r="EA8" s="127"/>
      <c r="EB8" s="127"/>
      <c r="EC8" s="127"/>
      <c r="ED8" s="127"/>
      <c r="EE8" s="127"/>
      <c r="EF8" s="127"/>
      <c r="EG8" s="127"/>
      <c r="EH8" s="128"/>
    </row>
    <row r="9" spans="1:167" ht="15" customHeight="1" x14ac:dyDescent="0.2">
      <c r="A9" s="134" t="s">
        <v>143</v>
      </c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2"/>
      <c r="S9" s="132"/>
      <c r="T9" s="132"/>
      <c r="U9" s="132"/>
      <c r="V9" s="132"/>
      <c r="W9" s="132"/>
      <c r="X9" s="132"/>
      <c r="Y9" s="132"/>
      <c r="Z9" s="37" t="s">
        <v>144</v>
      </c>
      <c r="AG9" s="134" t="s">
        <v>145</v>
      </c>
      <c r="AH9" s="134"/>
      <c r="AI9" s="134"/>
      <c r="AJ9" s="134"/>
      <c r="AK9" s="134"/>
      <c r="AL9" s="134"/>
      <c r="AM9" s="134"/>
      <c r="AN9" s="134"/>
      <c r="AO9" s="134"/>
      <c r="AP9" s="134"/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2"/>
      <c r="BC9" s="132"/>
      <c r="BD9" s="132"/>
      <c r="BE9" s="132"/>
      <c r="BF9" s="37" t="s">
        <v>146</v>
      </c>
      <c r="BO9" s="46"/>
      <c r="BZ9" s="129">
        <v>1</v>
      </c>
      <c r="CA9" s="130"/>
      <c r="CB9" s="130"/>
      <c r="CC9" s="130"/>
      <c r="CD9" s="130"/>
      <c r="CE9" s="130"/>
      <c r="CF9" s="130"/>
      <c r="CG9" s="130"/>
      <c r="CH9" s="130"/>
      <c r="CI9" s="131"/>
      <c r="CJ9" s="129">
        <v>2</v>
      </c>
      <c r="CK9" s="130"/>
      <c r="CL9" s="130"/>
      <c r="CM9" s="130"/>
      <c r="CN9" s="130"/>
      <c r="CO9" s="130"/>
      <c r="CP9" s="131"/>
      <c r="CQ9" s="129">
        <v>3</v>
      </c>
      <c r="CR9" s="130"/>
      <c r="CS9" s="130"/>
      <c r="CT9" s="130"/>
      <c r="CU9" s="130"/>
      <c r="CV9" s="130"/>
      <c r="CW9" s="130"/>
      <c r="CX9" s="130"/>
      <c r="CY9" s="131"/>
      <c r="CZ9" s="129">
        <v>4</v>
      </c>
      <c r="DA9" s="130"/>
      <c r="DB9" s="130"/>
      <c r="DC9" s="130"/>
      <c r="DD9" s="130"/>
      <c r="DE9" s="130"/>
      <c r="DF9" s="130"/>
      <c r="DG9" s="130"/>
      <c r="DH9" s="131"/>
      <c r="DI9" s="129">
        <v>5</v>
      </c>
      <c r="DJ9" s="130"/>
      <c r="DK9" s="130"/>
      <c r="DL9" s="130"/>
      <c r="DM9" s="130"/>
      <c r="DN9" s="130"/>
      <c r="DO9" s="130"/>
      <c r="DP9" s="131"/>
      <c r="DQ9" s="129">
        <v>6</v>
      </c>
      <c r="DR9" s="130"/>
      <c r="DS9" s="130"/>
      <c r="DT9" s="130"/>
      <c r="DU9" s="130"/>
      <c r="DV9" s="130"/>
      <c r="DW9" s="130"/>
      <c r="DX9" s="131"/>
      <c r="DY9" s="129">
        <v>7</v>
      </c>
      <c r="DZ9" s="130"/>
      <c r="EA9" s="130"/>
      <c r="EB9" s="130"/>
      <c r="EC9" s="130"/>
      <c r="ED9" s="130"/>
      <c r="EE9" s="130"/>
      <c r="EF9" s="130"/>
      <c r="EG9" s="130"/>
      <c r="EH9" s="131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5" t="s">
        <v>160</v>
      </c>
      <c r="CA10" s="156"/>
      <c r="CB10" s="156"/>
      <c r="CC10" s="156"/>
      <c r="CD10" s="156"/>
      <c r="CE10" s="156"/>
      <c r="CF10" s="156"/>
      <c r="CG10" s="156"/>
      <c r="CH10" s="156"/>
      <c r="CI10" s="157"/>
      <c r="CJ10" s="158" t="s">
        <v>161</v>
      </c>
      <c r="CK10" s="159"/>
      <c r="CL10" s="159"/>
      <c r="CM10" s="159"/>
      <c r="CN10" s="159"/>
      <c r="CO10" s="159"/>
      <c r="CP10" s="160"/>
      <c r="CQ10" s="117"/>
      <c r="CR10" s="118"/>
      <c r="CS10" s="118"/>
      <c r="CT10" s="118"/>
      <c r="CU10" s="118"/>
      <c r="CV10" s="118"/>
      <c r="CW10" s="118"/>
      <c r="CX10" s="118"/>
      <c r="CY10" s="119"/>
      <c r="CZ10" s="117"/>
      <c r="DA10" s="118"/>
      <c r="DB10" s="118"/>
      <c r="DC10" s="118"/>
      <c r="DD10" s="118"/>
      <c r="DE10" s="118"/>
      <c r="DF10" s="118"/>
      <c r="DG10" s="118"/>
      <c r="DH10" s="119"/>
      <c r="DI10" s="117"/>
      <c r="DJ10" s="118"/>
      <c r="DK10" s="118"/>
      <c r="DL10" s="118"/>
      <c r="DM10" s="118"/>
      <c r="DN10" s="118"/>
      <c r="DO10" s="118"/>
      <c r="DP10" s="119"/>
      <c r="DQ10" s="117"/>
      <c r="DR10" s="118"/>
      <c r="DS10" s="118"/>
      <c r="DT10" s="118"/>
      <c r="DU10" s="118"/>
      <c r="DV10" s="118"/>
      <c r="DW10" s="118"/>
      <c r="DX10" s="119"/>
      <c r="DY10" s="117"/>
      <c r="DZ10" s="118"/>
      <c r="EA10" s="118"/>
      <c r="EB10" s="118"/>
      <c r="EC10" s="118"/>
      <c r="ED10" s="118"/>
      <c r="EE10" s="118"/>
      <c r="EF10" s="118"/>
      <c r="EG10" s="118"/>
      <c r="EH10" s="119"/>
    </row>
    <row r="11" spans="1:167" ht="18.75" customHeight="1" x14ac:dyDescent="0.2"/>
    <row r="12" spans="1:167" ht="21.75" customHeight="1" x14ac:dyDescent="0.2">
      <c r="C12" s="116" t="s">
        <v>162</v>
      </c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O13" s="120" t="s">
        <v>135</v>
      </c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2"/>
      <c r="BF13" s="120" t="s">
        <v>136</v>
      </c>
      <c r="BG13" s="121"/>
      <c r="BH13" s="121"/>
      <c r="BI13" s="121"/>
      <c r="BJ13" s="121"/>
      <c r="BK13" s="121"/>
      <c r="BL13" s="121"/>
      <c r="BM13" s="121"/>
      <c r="BN13" s="121"/>
      <c r="BO13" s="121"/>
      <c r="BP13" s="121"/>
      <c r="BQ13" s="121"/>
      <c r="BR13" s="121"/>
      <c r="BS13" s="121"/>
      <c r="BT13" s="121"/>
      <c r="BU13" s="121"/>
      <c r="BV13" s="121"/>
      <c r="BW13" s="121"/>
      <c r="BX13" s="121"/>
      <c r="BY13" s="121"/>
      <c r="BZ13" s="121"/>
      <c r="CA13" s="121"/>
      <c r="CB13" s="121"/>
      <c r="CC13" s="121"/>
      <c r="CD13" s="121"/>
      <c r="CE13" s="122"/>
      <c r="CF13" s="120" t="s">
        <v>137</v>
      </c>
      <c r="CG13" s="121"/>
      <c r="CH13" s="121"/>
      <c r="CI13" s="121"/>
      <c r="CJ13" s="121"/>
      <c r="CK13" s="121"/>
      <c r="CL13" s="121"/>
      <c r="CM13" s="121"/>
      <c r="CN13" s="121"/>
      <c r="CO13" s="121"/>
      <c r="CP13" s="121"/>
      <c r="CQ13" s="121"/>
      <c r="CR13" s="121"/>
      <c r="CS13" s="121"/>
      <c r="CT13" s="121"/>
      <c r="CU13" s="121"/>
      <c r="CV13" s="121"/>
      <c r="CW13" s="121"/>
      <c r="CX13" s="121"/>
      <c r="CY13" s="122"/>
      <c r="CZ13" s="120" t="s">
        <v>138</v>
      </c>
      <c r="DA13" s="121"/>
      <c r="DB13" s="121"/>
      <c r="DC13" s="121"/>
      <c r="DD13" s="121"/>
      <c r="DE13" s="121"/>
      <c r="DF13" s="121"/>
      <c r="DG13" s="121"/>
      <c r="DH13" s="121"/>
      <c r="DI13" s="121"/>
      <c r="DJ13" s="121"/>
      <c r="DK13" s="121"/>
      <c r="DL13" s="121"/>
      <c r="DM13" s="121"/>
      <c r="DN13" s="121"/>
      <c r="DO13" s="121"/>
      <c r="DP13" s="121"/>
      <c r="DQ13" s="122"/>
      <c r="DR13" s="120" t="s">
        <v>139</v>
      </c>
      <c r="DS13" s="121"/>
      <c r="DT13" s="121"/>
      <c r="DU13" s="121"/>
      <c r="DV13" s="121"/>
      <c r="DW13" s="121"/>
      <c r="DX13" s="121"/>
      <c r="DY13" s="121"/>
      <c r="DZ13" s="121"/>
      <c r="EA13" s="121"/>
      <c r="EB13" s="121"/>
      <c r="EC13" s="121"/>
      <c r="ED13" s="121"/>
      <c r="EE13" s="121"/>
      <c r="EF13" s="121"/>
      <c r="EG13" s="121"/>
      <c r="EH13" s="122"/>
    </row>
    <row r="14" spans="1:167" ht="12" customHeight="1" x14ac:dyDescent="0.2">
      <c r="A14" s="44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O14" s="123"/>
      <c r="AP14" s="124"/>
      <c r="AQ14" s="124"/>
      <c r="AR14" s="124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5"/>
      <c r="BF14" s="123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5"/>
      <c r="CF14" s="123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5"/>
      <c r="CZ14" s="123"/>
      <c r="DA14" s="124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4"/>
      <c r="DM14" s="124"/>
      <c r="DN14" s="124"/>
      <c r="DO14" s="124"/>
      <c r="DP14" s="124"/>
      <c r="DQ14" s="125"/>
      <c r="DR14" s="123"/>
      <c r="DS14" s="124"/>
      <c r="DT14" s="124"/>
      <c r="DU14" s="124"/>
      <c r="DV14" s="124"/>
      <c r="DW14" s="124"/>
      <c r="DX14" s="124"/>
      <c r="DY14" s="124"/>
      <c r="DZ14" s="124"/>
      <c r="EA14" s="124"/>
      <c r="EB14" s="124"/>
      <c r="EC14" s="124"/>
      <c r="ED14" s="124"/>
      <c r="EE14" s="124"/>
      <c r="EF14" s="124"/>
      <c r="EG14" s="124"/>
      <c r="EH14" s="125"/>
    </row>
    <row r="15" spans="1:167" ht="18" customHeight="1" x14ac:dyDescent="0.2">
      <c r="A15" s="44"/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O15" s="123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5"/>
      <c r="BF15" s="123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5"/>
      <c r="CF15" s="123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24"/>
      <c r="CV15" s="124"/>
      <c r="CW15" s="124"/>
      <c r="CX15" s="124"/>
      <c r="CY15" s="125"/>
      <c r="CZ15" s="123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4"/>
      <c r="DM15" s="124"/>
      <c r="DN15" s="124"/>
      <c r="DO15" s="124"/>
      <c r="DP15" s="124"/>
      <c r="DQ15" s="125"/>
      <c r="DR15" s="123"/>
      <c r="DS15" s="124"/>
      <c r="DT15" s="124"/>
      <c r="DU15" s="124"/>
      <c r="DV15" s="124"/>
      <c r="DW15" s="124"/>
      <c r="DX15" s="124"/>
      <c r="DY15" s="124"/>
      <c r="DZ15" s="124"/>
      <c r="EA15" s="124"/>
      <c r="EB15" s="124"/>
      <c r="EC15" s="124"/>
      <c r="ED15" s="124"/>
      <c r="EE15" s="124"/>
      <c r="EF15" s="124"/>
      <c r="EG15" s="124"/>
      <c r="EH15" s="125"/>
    </row>
    <row r="16" spans="1:167" ht="15" customHeight="1" x14ac:dyDescent="0.2"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O16" s="136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8"/>
      <c r="BF16" s="150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2"/>
      <c r="CF16" s="142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4"/>
      <c r="CZ16" s="136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8"/>
      <c r="DR16" s="146"/>
      <c r="DS16" s="147"/>
      <c r="DT16" s="147"/>
      <c r="DU16" s="147"/>
      <c r="DV16" s="147"/>
      <c r="DW16" s="147"/>
      <c r="DX16" s="147"/>
      <c r="DY16" s="147"/>
      <c r="DZ16" s="147"/>
      <c r="EA16" s="147"/>
      <c r="EB16" s="147"/>
      <c r="EC16" s="147"/>
      <c r="ED16" s="147"/>
      <c r="EE16" s="147"/>
      <c r="EF16" s="147"/>
      <c r="EG16" s="147"/>
      <c r="EH16" s="148"/>
    </row>
    <row r="17" spans="3:138" ht="11.1" customHeight="1" x14ac:dyDescent="0.2"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9" t="s">
        <v>142</v>
      </c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149"/>
      <c r="BL17" s="149"/>
      <c r="BM17" s="149"/>
      <c r="BN17" s="149"/>
      <c r="BO17" s="149"/>
      <c r="BP17" s="149"/>
      <c r="BQ17" s="149"/>
      <c r="BR17" s="149"/>
      <c r="BS17" s="149"/>
      <c r="BT17" s="149"/>
      <c r="BU17" s="149"/>
      <c r="BV17" s="149"/>
      <c r="BW17" s="149"/>
      <c r="BX17" s="149"/>
      <c r="BY17" s="149"/>
      <c r="BZ17" s="149"/>
      <c r="CA17" s="149"/>
      <c r="CB17" s="149"/>
      <c r="CC17" s="149"/>
      <c r="CD17" s="149"/>
      <c r="CE17" s="145"/>
      <c r="CF17" s="145"/>
      <c r="CG17" s="145"/>
      <c r="CH17" s="145"/>
      <c r="CI17" s="145"/>
      <c r="CJ17" s="145"/>
      <c r="CK17" s="145"/>
      <c r="CL17" s="145"/>
      <c r="CM17" s="145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O19" s="44"/>
      <c r="AZ19" s="153" t="s">
        <v>147</v>
      </c>
      <c r="BA19" s="153"/>
      <c r="BB19" s="153"/>
      <c r="BC19" s="153"/>
      <c r="BD19" s="153"/>
      <c r="BE19" s="153"/>
      <c r="BF19" s="153"/>
      <c r="BG19" s="153"/>
      <c r="BH19" s="153"/>
      <c r="BI19" s="153"/>
      <c r="BJ19" s="153"/>
      <c r="BK19" s="153"/>
      <c r="BL19" s="153"/>
      <c r="BM19" s="153"/>
      <c r="BN19" s="153"/>
      <c r="BO19" s="153"/>
      <c r="BP19" s="153"/>
      <c r="BQ19" s="153"/>
      <c r="BR19" s="153"/>
      <c r="BS19" s="153"/>
      <c r="BT19" s="153"/>
      <c r="BU19" s="153"/>
      <c r="BV19" s="153"/>
      <c r="BW19" s="153"/>
      <c r="BX19" s="153"/>
      <c r="BY19" s="153"/>
      <c r="BZ19" s="153"/>
      <c r="CA19" s="153"/>
      <c r="CB19" s="153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EF19" s="36"/>
      <c r="EG19" s="36"/>
      <c r="EH19" s="42"/>
    </row>
    <row r="20" spans="3:138" ht="11.1" customHeight="1" x14ac:dyDescent="0.2"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5" t="s">
        <v>149</v>
      </c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DA22" s="43" t="s">
        <v>150</v>
      </c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purl.org/dc/elements/1.1/"/>
    <ds:schemaRef ds:uri="http://purl.org/dc/terms/"/>
    <ds:schemaRef ds:uri="http://schemas.microsoft.com/office/2006/metadata/properties"/>
    <ds:schemaRef ds:uri="http://www.w3.org/XML/1998/namespace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2023-02-21T14:03:30Z</cp:lastPrinted>
  <dcterms:created xsi:type="dcterms:W3CDTF">2012-02-27T08:19:11Z</dcterms:created>
  <dcterms:modified xsi:type="dcterms:W3CDTF">2023-03-22T08:53:51Z</dcterms:modified>
</cp:coreProperties>
</file>