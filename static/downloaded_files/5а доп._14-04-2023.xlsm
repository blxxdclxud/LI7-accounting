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2" i="268"/>
  <c r="G1306" i="268" l="1"/>
  <c r="G1305" i="268"/>
  <c r="G1304" i="268"/>
  <c r="G1303" i="268"/>
  <c r="G1302" i="268"/>
  <c r="G1301" i="268"/>
  <c r="G1300" i="268"/>
  <c r="G1299" i="268"/>
  <c r="G1298" i="268"/>
  <c r="G1297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<sst xmlns="http://schemas.openxmlformats.org/spreadsheetml/2006/main" count="2519" uniqueCount="470">
  <si>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</si>
  <si>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</si>
  <si>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</si>
  <si>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</si>
  <si>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</si>
  <si>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</si>
  <si>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</si>
  <si>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</si>
  <si>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</si>
  <si>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</si>
  <si>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</si>
  <si>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</si>
  <si>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</si>
  <si>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</si>
  <si>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</si>
  <si>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</si>
  <si>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</si>
  <si>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</si>
  <si>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</si>
  <si>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</si>
  <si>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</si>
  <si>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</si>
  <si>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</si>
  <si>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</si>
  <si>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</si>
  <si>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</si>
  <si>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</si>
  <si>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</si>
  <si>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</si>
  <si>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</si>
  <si>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</si>
  <si>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</si>
  <si>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</si>
  <si>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</si>
  <si>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</si>
  <si>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</si>
  <si>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</si>
  <si>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</si>
  <si>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</si>
  <si>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</si>
  <si>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</si>
  <si>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</si>
  <si>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</si>
  <si>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</si>
  <si>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</si>
  <si>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</si>
  <si>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</si>
  <si>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</si>
  <si>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</si>
  <si>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</si>
  <si>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</si>
  <si>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</si>
  <si>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</si>
  <si>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</si>
  <si>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</si>
  <si>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</si>
  <si>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</si>
  <si>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</si>
  <si>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</si>
  <si>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</si>
  <si>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</si>
  <si>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</si>
  <si>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</si>
  <si>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</si>
  <si>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</si>
  <si>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</si>
  <si>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</si>
  <si>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</si>
  <si>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</si>
  <si>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</si>
  <si>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</si>
  <si>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</si>
  <si>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</si>
  <si>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</si>
  <si>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</si>
  <si>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</si>
  <si>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</si>
  <si>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</si>
  <si>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</si>
  <si>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</si>
  <si>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</si>
  <si>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</si>
  <si>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</si>
  <si>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</si>
  <si>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</si>
  <si>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</si>
  <si>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</si>
  <si>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</si>
  <si>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</si>
  <si>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</si>
  <si>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</si>
  <si>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</si>
  <si>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</si>
  <si>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</si>
  <si>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</si>
  <si>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</si>
  <si>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</si>
  <si>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</si>
  <si>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</si>
  <si>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</si>
  <si>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</si>
  <si>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</si>
  <si>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</si>
  <si>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</si>
  <si>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</si>
  <si>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</si>
  <si>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</si>
  <si>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</si>
  <si>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</si>
  <si>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</si>
  <si>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</si>
  <si>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</si>
  <si>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</si>
  <si>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</si>
  <si>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</si>
  <si>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</si>
  <si>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</si>
  <si>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</si>
  <si>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</si>
  <si>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</si>
  <si>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</si>
  <si>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</si>
  <si>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</si>
  <si>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</si>
  <si>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</si>
  <si>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</si>
  <si>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</si>
  <si>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</si>
  <si>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</si>
  <si>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</si>
  <si>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</si>
  <si>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</si>
  <si>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</si>
  <si>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</si>
  <si>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</si>
  <si>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</si>
  <si>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</si>
  <si>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</si>
  <si>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</si>
  <si>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</si>
  <si>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</si>
  <si>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</si>
  <si>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</si>
  <si>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</si>
  <si>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</si>
  <si>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</si>
  <si>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</si>
  <si>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</si>
  <si>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</si>
  <si>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</si>
  <si>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</si>
  <si>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</si>
  <si>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</si>
  <si>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</si>
  <si>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</si>
  <si>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</si>
  <si>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</si>
  <si>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</si>
  <si>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</si>
  <si>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</si>
  <si>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</si>
  <si>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</si>
  <si>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</si>
  <si>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</si>
  <si>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</si>
  <si>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</si>
  <si>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</si>
  <si>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</si>
  <si>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</si>
  <si>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</si>
  <si>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</si>
  <si>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</si>
  <si>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</si>
  <si>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</si>
  <si>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</si>
  <si>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</si>
  <si>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</si>
  <si>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</si>
  <si>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</si>
  <si>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</si>
  <si>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</si>
  <si>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</si>
  <si>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</si>
  <si>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</si>
  <si>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</si>
  <si>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</si>
  <si>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</si>
  <si>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</si>
  <si>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</si>
  <si>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</si>
  <si>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</si>
  <si>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</si>
  <si>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</si>
  <si>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</si>
  <si>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</si>
  <si>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</si>
  <si>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</si>
  <si>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</si>
  <si>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</si>
  <si>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</si>
  <si>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</si>
  <si>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</si>
  <si>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</si>
  <si>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</si>
  <si>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</si>
  <si>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</si>
  <si>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</si>
  <si>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</si>
  <si>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</si>
  <si>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</si>
  <si>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</si>
  <si>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</si>
  <si>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</si>
  <si>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</si>
  <si>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</si>
  <si>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</si>
  <si>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</si>
  <si>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</si>
  <si>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</si>
  <si>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</si>
  <si>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</si>
  <si>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</si>
  <si>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</si>
  <si>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</si>
  <si>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</si>
  <si>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</si>
  <si>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</si>
  <si>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</si>
  <si>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</si>
  <si>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</si>
  <si>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</si>
  <si>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</si>
  <si>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</si>
  <si>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</si>
  <si>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</si>
  <si>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</si>
  <si>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</si>
  <si>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</si>
  <si>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</si>
  <si>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</si>
  <si>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</si>
  <si>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</si>
  <si>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</si>
  <si>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</si>
  <si>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</si>
  <si>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</si>
  <si>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</si>
  <si>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</si>
  <si>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</si>
  <si>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</si>
  <si>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</si>
  <si>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</si>
  <si>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</si>
  <si>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</si>
  <si>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</si>
  <si>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</si>
  <si>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</si>
  <si>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</si>
  <si>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</si>
  <si>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</si>
  <si>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</si>
  <si>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</si>
  <si>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</si>
  <si>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</si>
  <si>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</si>
  <si>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</si>
  <si>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</si>
  <si>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</si>
  <si>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</si>
  <si>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</si>
  <si>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</si>
  <si>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</si>
  <si>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</si>
  <si>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</si>
  <si>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</si>
  <si>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</si>
  <si>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</si>
  <si>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</si>
  <si>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</si>
  <si>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</si>
  <si>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</si>
  <si>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</si>
  <si>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</si>
  <si>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</si>
  <si>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</si>
  <si>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</si>
  <si>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</si>
  <si>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</si>
  <si>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</si>
  <si>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</si>
  <si>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</si>
  <si>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</si>
  <si>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</si>
  <si>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</si>
  <si>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</si>
  <si>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</si>
  <si>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</si>
  <si>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</si>
  <si>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</si>
  <si>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</si>
  <si>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</si>
  <si>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</si>
  <si>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</si>
  <si>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</si>
  <si>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</si>
  <si>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</si>
  <si>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</si>
  <si>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</si>
  <si>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</si>
  <si>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</si>
  <si>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</si>
  <si>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</si>
  <si>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</si>
  <si>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</si>
  <si>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</si>
  <si>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</si>
  <si>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</si>
  <si>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</si>
  <si>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</si>
  <si>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</si>
  <si>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</si>
  <si>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</si>
  <si>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</si>
  <si>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</si>
  <si>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</si>
  <si>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</si>
  <si>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</si>
  <si>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</si>
  <si>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</si>
  <si>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</si>
  <si>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</si>
  <si>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</si>
  <si>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</si>
  <si>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</si>
  <si>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</si>
  <si>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</si>
  <si>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</si>
  <si>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</si>
  <si>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</si>
  <si>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</si>
  <si>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</si>
  <si>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</si>
  <si>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</si>
  <si>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</si>
  <si>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</si>
  <si>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</si>
  <si>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</si>
  <si>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</si>
  <si>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</si>
  <si>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</si>
  <si>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</si>
  <si>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</si>
  <si>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</si>
  <si>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</si>
  <si>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</si>
  <si>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</si>
  <si>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</si>
  <si>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</si>
  <si>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</si>
  <si>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</si>
  <si>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</si>
  <si>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</si>
  <si>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</si>
  <si>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</si>
  <si>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</si>
  <si>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</si>
  <si>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</si>
  <si>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</si>
  <si>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</si>
  <si>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</si>
  <si>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</si>
  <si>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</si>
  <si>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</si>
  <si>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</si>
  <si>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</si>
  <si>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</si>
  <si>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</si>
  <si>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</si>
  <si>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</si>
  <si>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</si>
  <si>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</si>
  <si>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</si>
  <si>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</si>
  <si>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</si>
  <si>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</si>
  <si>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</si>
  <si>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</si>
  <si>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</si>
  <si>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</si>
  <si>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</si>
  <si>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</si>
  <si>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</si>
  <si>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</si>
  <si>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</si>
  <si>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</si>
  <si>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</si>
  <si>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</si>
  <si>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000861</t>
  </si>
  <si>
    <t xml:space="preserve">Абдрахманов Юлдаш Рафикович                       </t>
  </si>
  <si>
    <t xml:space="preserve">5а доп              </t>
  </si>
  <si>
    <t>000860</t>
  </si>
  <si>
    <t xml:space="preserve">Аджигитов Ахмад Рафаэльевич                       </t>
  </si>
  <si>
    <t>000857</t>
  </si>
  <si>
    <t xml:space="preserve">Айзатуллин Амир Эмилевич                          </t>
  </si>
  <si>
    <t>000847</t>
  </si>
  <si>
    <t xml:space="preserve">Ахмадуллин Арслан Наилевич                        </t>
  </si>
  <si>
    <t>000863</t>
  </si>
  <si>
    <t xml:space="preserve">Волков Дмитрий Евгеньевич                         </t>
  </si>
  <si>
    <t>000843</t>
  </si>
  <si>
    <t xml:space="preserve">Галаутдинов Камиль Рустамович                     </t>
  </si>
  <si>
    <t>000842</t>
  </si>
  <si>
    <t xml:space="preserve">Гаранин Кирилл Андреевич                          </t>
  </si>
  <si>
    <t>000856</t>
  </si>
  <si>
    <t xml:space="preserve">Гилманов Амир Рустемович                          </t>
  </si>
  <si>
    <t>000854</t>
  </si>
  <si>
    <t xml:space="preserve">Давлетов Али Радикович                            </t>
  </si>
  <si>
    <t>000864</t>
  </si>
  <si>
    <t xml:space="preserve">Ильичев Денис Алексеевич                          </t>
  </si>
  <si>
    <t>000851</t>
  </si>
  <si>
    <t xml:space="preserve">Кудинов Нил Александрович                         </t>
  </si>
  <si>
    <t>000844</t>
  </si>
  <si>
    <t xml:space="preserve">Минимуллин Камиль Расимович                       </t>
  </si>
  <si>
    <t>000848</t>
  </si>
  <si>
    <t xml:space="preserve">Муллакаев Ибрахим Фидаилевич                      </t>
  </si>
  <si>
    <t>000858</t>
  </si>
  <si>
    <t xml:space="preserve">Мустафин Султан Радикович                         </t>
  </si>
  <si>
    <t>000852</t>
  </si>
  <si>
    <t xml:space="preserve">Олудин Никита Алексеевич                          </t>
  </si>
  <si>
    <t>000855</t>
  </si>
  <si>
    <t xml:space="preserve">Фатхутдинов Карим Динарович                       </t>
  </si>
  <si>
    <t>000850</t>
  </si>
  <si>
    <t xml:space="preserve">Хаертдинов Мурат Наилевич                         </t>
  </si>
  <si>
    <t>000845</t>
  </si>
  <si>
    <t xml:space="preserve">Шаммасов Мансур Ренатович                         </t>
  </si>
  <si>
    <t>000859</t>
  </si>
  <si>
    <t xml:space="preserve">Шарафутдинов Тагир Азатович                       </t>
  </si>
  <si>
    <t>000862</t>
  </si>
  <si>
    <t xml:space="preserve">Яруллин Халиль Фаилевич                           </t>
  </si>
  <si>
    <t>Сумма: 5970 руб. 00 коп.</t>
  </si>
  <si>
    <t>000849</t>
  </si>
  <si>
    <t xml:space="preserve">Валиев Азамат Ленарович                           </t>
  </si>
  <si>
    <t>Сумма: 11940 руб. 00 коп.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</si>
  <si>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</si>
  <si>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</si>
  <si>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</si>
  <si>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</si>
  <si>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</si>
  <si>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</si>
  <si>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</si>
  <si>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</si>
  <si>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</si>
  <si>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</si>
  <si>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</si>
  <si>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</si>
  <si>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</si>
  <si>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</si>
  <si>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</si>
  <si>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</si>
  <si>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</si>
  <si>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</si>
  <si>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</si>
  <si>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</si>
  <si>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</si>
  <si>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</si>
  <si>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000853</t>
  </si>
  <si>
    <t xml:space="preserve">Гимранов Рифат Рамилевич                          </t>
  </si>
  <si>
    <t>000846</t>
  </si>
  <si>
    <t xml:space="preserve">Мигманов Рияз Рафисович                           </t>
  </si>
  <si>
    <t>апрель</t>
  </si>
  <si>
    <t>5а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</si>
</sst>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6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468</v>
      </c>
      <c r="E2" s="93">
        <v>5970</v>
      </c>
      <c r="F2" s="98" t="str">
        <f>TRIM(A2)</f>
        <v>000861</v>
      </c>
      <c r="G2" s="31" t="str">
        <f t="shared" ref="G2:G44" si="0">B2</f>
        <v xml:space="preserve">Абдрахманов Юлдаш Рафикович                       </v>
      </c>
      <c r="H2" s="31" t="str">
        <f>CONCATENATE(TRIM(C2)," ",D2)</f>
        <v>5а доп апрель</v>
      </c>
      <c r="I2" s="94" t="s">
        <v>396</v>
      </c>
      <c r="J2" s="31">
        <v>92701000</v>
      </c>
      <c r="M2" s="31">
        <f t="shared" ref="M2:M61" si="1">E2</f>
        <v>5970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468</v>
      </c>
      <c r="E3" s="93">
        <v>11940</v>
      </c>
      <c r="F3" s="98" t="str">
        <f t="shared" ref="F3:F64" si="2">TRIM(A3)</f>
        <v>000860</v>
      </c>
      <c r="G3" s="31" t="str">
        <f t="shared" si="0"/>
        <v xml:space="preserve">Аджигитов Ахмад Рафаэльевич                       </v>
      </c>
      <c r="H3" s="31" t="str">
        <f t="shared" ref="H3:H64" si="3">CONCATENATE(TRIM(C3)," ",D3)</f>
        <v>5а доп апрель</v>
      </c>
      <c r="I3" s="94" t="s">
        <v>396</v>
      </c>
      <c r="J3" s="31">
        <v>92701000</v>
      </c>
      <c r="M3" s="31">
        <f t="shared" si="1"/>
        <v>11940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468</v>
      </c>
      <c r="E4" s="93">
        <v>0</v>
      </c>
      <c r="F4" s="98" t="str">
        <f t="shared" si="2"/>
        <v>000857</v>
      </c>
      <c r="G4" s="31" t="str">
        <f t="shared" si="0"/>
        <v xml:space="preserve">Айзатуллин Амир Эмилевич                          </v>
      </c>
      <c r="H4" s="31" t="str">
        <f t="shared" si="3"/>
        <v>5а доп апрель</v>
      </c>
      <c r="I4" s="94" t="s">
        <v>396</v>
      </c>
      <c r="J4" s="31">
        <v>92701000</v>
      </c>
      <c r="M4" s="31">
        <f t="shared" si="1"/>
        <v>0</v>
      </c>
    </row>
    <row r="5" spans="1:13" x14ac:dyDescent="0.25">
      <c r="A5" s="92" t="s">
        <v>404</v>
      </c>
      <c r="B5" s="92" t="s">
        <v>405</v>
      </c>
      <c r="C5" s="92" t="s">
        <v>399</v>
      </c>
      <c r="D5" s="92" t="s">
        <v>468</v>
      </c>
      <c r="E5" s="93">
        <v>5970</v>
      </c>
      <c r="F5" s="98" t="str">
        <f t="shared" si="2"/>
        <v>000847</v>
      </c>
      <c r="G5" s="31" t="str">
        <f t="shared" si="0"/>
        <v xml:space="preserve">Ахмадуллин Арслан Наилевич                        </v>
      </c>
      <c r="H5" s="31" t="str">
        <f t="shared" si="3"/>
        <v>5а доп апрель</v>
      </c>
      <c r="I5" s="94" t="s">
        <v>396</v>
      </c>
      <c r="J5" s="31">
        <v>92701000</v>
      </c>
      <c r="M5" s="31">
        <f t="shared" si="1"/>
        <v>5970</v>
      </c>
    </row>
    <row r="6" spans="1:13" x14ac:dyDescent="0.25">
      <c r="A6" s="92" t="s">
        <v>439</v>
      </c>
      <c r="B6" s="92" t="s">
        <v>440</v>
      </c>
      <c r="C6" s="92" t="s">
        <v>399</v>
      </c>
      <c r="D6" s="92" t="s">
        <v>468</v>
      </c>
      <c r="E6" s="93">
        <v>11940</v>
      </c>
      <c r="F6" s="98" t="str">
        <f t="shared" si="2"/>
        <v>000849</v>
      </c>
      <c r="G6" s="31" t="str">
        <f t="shared" si="0"/>
        <v xml:space="preserve">Валиев Азамат Ленарович                           </v>
      </c>
      <c r="H6" s="31" t="str">
        <f t="shared" si="3"/>
        <v>5а доп апрель</v>
      </c>
      <c r="I6" s="94" t="s">
        <v>396</v>
      </c>
      <c r="J6" s="31">
        <v>92701000</v>
      </c>
      <c r="M6" s="31">
        <f t="shared" si="1"/>
        <v>11940</v>
      </c>
    </row>
    <row r="7" spans="1:13" x14ac:dyDescent="0.25">
      <c r="A7" s="92" t="s">
        <v>406</v>
      </c>
      <c r="B7" s="92" t="s">
        <v>407</v>
      </c>
      <c r="C7" s="92" t="s">
        <v>399</v>
      </c>
      <c r="D7" s="92" t="s">
        <v>468</v>
      </c>
      <c r="E7" s="93">
        <v>5970</v>
      </c>
      <c r="F7" s="98" t="str">
        <f t="shared" si="2"/>
        <v>000863</v>
      </c>
      <c r="G7" s="31" t="str">
        <f t="shared" si="0"/>
        <v xml:space="preserve">Волков Дмитрий Евгеньевич                         </v>
      </c>
      <c r="H7" s="31" t="str">
        <f t="shared" si="3"/>
        <v>5а доп апрель</v>
      </c>
      <c r="I7" s="94" t="s">
        <v>396</v>
      </c>
      <c r="J7" s="31">
        <v>92701000</v>
      </c>
      <c r="M7" s="31">
        <f t="shared" si="1"/>
        <v>5970</v>
      </c>
    </row>
    <row r="8" spans="1:13" x14ac:dyDescent="0.25">
      <c r="A8" s="92" t="s">
        <v>408</v>
      </c>
      <c r="B8" s="92" t="s">
        <v>409</v>
      </c>
      <c r="C8" s="92" t="s">
        <v>399</v>
      </c>
      <c r="D8" s="92" t="s">
        <v>468</v>
      </c>
      <c r="E8" s="93">
        <v>11940</v>
      </c>
      <c r="F8" s="98" t="str">
        <f t="shared" si="2"/>
        <v>000843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доп апрель</v>
      </c>
      <c r="I8" s="94" t="s">
        <v>396</v>
      </c>
      <c r="J8" s="31">
        <v>92701000</v>
      </c>
      <c r="M8" s="31">
        <f t="shared" si="1"/>
        <v>11940</v>
      </c>
    </row>
    <row r="9" spans="1:13" x14ac:dyDescent="0.25">
      <c r="A9" s="92" t="s">
        <v>410</v>
      </c>
      <c r="B9" s="92" t="s">
        <v>411</v>
      </c>
      <c r="C9" s="92" t="s">
        <v>399</v>
      </c>
      <c r="D9" s="92" t="s">
        <v>468</v>
      </c>
      <c r="E9" s="93">
        <v>5970</v>
      </c>
      <c r="F9" s="98" t="str">
        <f t="shared" si="2"/>
        <v>000842</v>
      </c>
      <c r="G9" s="31" t="str">
        <f t="shared" si="0"/>
        <v xml:space="preserve">Гаранин Кирилл Андреевич                          </v>
      </c>
      <c r="H9" s="31" t="str">
        <f t="shared" si="3"/>
        <v>5а доп апрель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412</v>
      </c>
      <c r="B10" s="92" t="s">
        <v>413</v>
      </c>
      <c r="C10" s="92" t="s">
        <v>399</v>
      </c>
      <c r="D10" s="92" t="s">
        <v>468</v>
      </c>
      <c r="E10" s="93">
        <v>5970</v>
      </c>
      <c r="F10" s="98" t="str">
        <f t="shared" si="2"/>
        <v>000856</v>
      </c>
      <c r="G10" s="31" t="str">
        <f t="shared" si="0"/>
        <v xml:space="preserve">Гилманов Амир Рустемович                          </v>
      </c>
      <c r="H10" s="31" t="str">
        <f t="shared" si="3"/>
        <v>5а доп апрель</v>
      </c>
      <c r="I10" s="94" t="s">
        <v>396</v>
      </c>
      <c r="J10" s="31">
        <v>92701000</v>
      </c>
      <c r="M10" s="31">
        <f t="shared" si="1"/>
        <v>5970</v>
      </c>
    </row>
    <row r="11" spans="1:13" x14ac:dyDescent="0.25">
      <c r="A11" s="92" t="s">
        <v>464</v>
      </c>
      <c r="B11" s="92" t="s">
        <v>465</v>
      </c>
      <c r="C11" s="92" t="s">
        <v>399</v>
      </c>
      <c r="D11" s="92" t="s">
        <v>468</v>
      </c>
      <c r="E11" s="93">
        <v>5970</v>
      </c>
      <c r="F11" s="98" t="str">
        <f t="shared" si="2"/>
        <v>000853</v>
      </c>
      <c r="G11" s="31" t="str">
        <f t="shared" si="0"/>
        <v xml:space="preserve">Гимранов Рифат Рамилевич                          </v>
      </c>
      <c r="H11" s="31" t="str">
        <f t="shared" si="3"/>
        <v>5а доп апрель</v>
      </c>
      <c r="I11" s="94" t="s">
        <v>396</v>
      </c>
      <c r="J11" s="31">
        <v>92701000</v>
      </c>
      <c r="M11" s="31">
        <f t="shared" si="1"/>
        <v>5970</v>
      </c>
    </row>
    <row r="12" spans="1:13" x14ac:dyDescent="0.25">
      <c r="A12" s="92" t="s">
        <v>414</v>
      </c>
      <c r="B12" s="92" t="s">
        <v>415</v>
      </c>
      <c r="C12" s="92" t="s">
        <v>399</v>
      </c>
      <c r="D12" s="92" t="s">
        <v>468</v>
      </c>
      <c r="E12" s="93">
        <v>5970</v>
      </c>
      <c r="F12" s="98" t="str">
        <f t="shared" si="2"/>
        <v>000854</v>
      </c>
      <c r="G12" s="31" t="str">
        <f t="shared" si="0"/>
        <v xml:space="preserve">Давлетов Али Радикович                            </v>
      </c>
      <c r="H12" s="31" t="str">
        <f t="shared" si="3"/>
        <v>5а доп апрель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416</v>
      </c>
      <c r="B13" s="92" t="s">
        <v>417</v>
      </c>
      <c r="C13" s="92" t="s">
        <v>399</v>
      </c>
      <c r="D13" s="92" t="s">
        <v>468</v>
      </c>
      <c r="E13" s="93">
        <v>6000</v>
      </c>
      <c r="F13" s="98" t="str">
        <f t="shared" si="2"/>
        <v>000864</v>
      </c>
      <c r="G13" s="31" t="str">
        <f t="shared" si="0"/>
        <v xml:space="preserve">Ильичев Денис Алексеевич                          </v>
      </c>
      <c r="H13" s="31" t="str">
        <f t="shared" si="3"/>
        <v>5а доп апрель</v>
      </c>
      <c r="I13" s="94" t="s">
        <v>396</v>
      </c>
      <c r="J13" s="31">
        <v>92701000</v>
      </c>
      <c r="M13" s="31">
        <f t="shared" si="1"/>
        <v>6000</v>
      </c>
    </row>
    <row r="14" spans="1:13" x14ac:dyDescent="0.25">
      <c r="A14" s="92" t="s">
        <v>418</v>
      </c>
      <c r="B14" s="92" t="s">
        <v>419</v>
      </c>
      <c r="C14" s="92" t="s">
        <v>399</v>
      </c>
      <c r="D14" s="92" t="s">
        <v>468</v>
      </c>
      <c r="E14" s="93">
        <v>5970</v>
      </c>
      <c r="F14" s="98" t="str">
        <f t="shared" si="2"/>
        <v>000851</v>
      </c>
      <c r="G14" s="31" t="str">
        <f t="shared" si="0"/>
        <v xml:space="preserve">Кудинов Нил Александрович                         </v>
      </c>
      <c r="H14" s="31" t="str">
        <f t="shared" si="3"/>
        <v>5а доп апрель</v>
      </c>
      <c r="I14" s="94" t="s">
        <v>396</v>
      </c>
      <c r="J14" s="31">
        <v>92701000</v>
      </c>
      <c r="M14" s="31">
        <f t="shared" si="1"/>
        <v>5970</v>
      </c>
    </row>
    <row r="15" spans="1:13" x14ac:dyDescent="0.25">
      <c r="A15" s="92" t="s">
        <v>466</v>
      </c>
      <c r="B15" s="92" t="s">
        <v>467</v>
      </c>
      <c r="C15" s="92" t="s">
        <v>399</v>
      </c>
      <c r="D15" s="92" t="s">
        <v>468</v>
      </c>
      <c r="E15" s="93">
        <v>0</v>
      </c>
      <c r="F15" s="98" t="str">
        <f t="shared" si="2"/>
        <v>000846</v>
      </c>
      <c r="G15" s="31" t="str">
        <f t="shared" si="0"/>
        <v xml:space="preserve">Мигманов Рияз Рафисович                           </v>
      </c>
      <c r="H15" s="31" t="str">
        <f t="shared" si="3"/>
        <v>5а доп апрель</v>
      </c>
      <c r="I15" s="94" t="s">
        <v>396</v>
      </c>
      <c r="J15" s="31">
        <v>92701000</v>
      </c>
      <c r="M15" s="31">
        <f t="shared" si="1"/>
        <v>0</v>
      </c>
    </row>
    <row r="16" spans="1:13" x14ac:dyDescent="0.25">
      <c r="A16" s="92" t="s">
        <v>420</v>
      </c>
      <c r="B16" s="92" t="s">
        <v>421</v>
      </c>
      <c r="C16" s="92" t="s">
        <v>399</v>
      </c>
      <c r="D16" s="92" t="s">
        <v>468</v>
      </c>
      <c r="E16" s="93">
        <v>5970</v>
      </c>
      <c r="F16" s="98" t="str">
        <f t="shared" si="2"/>
        <v>000844</v>
      </c>
      <c r="G16" s="31" t="str">
        <f t="shared" si="0"/>
        <v xml:space="preserve">Минимуллин Камиль Расимович                       </v>
      </c>
      <c r="H16" s="31" t="str">
        <f t="shared" si="3"/>
        <v>5а доп апрель</v>
      </c>
      <c r="I16" s="94" t="s">
        <v>396</v>
      </c>
      <c r="J16" s="31">
        <v>92701000</v>
      </c>
      <c r="M16" s="31">
        <f t="shared" si="1"/>
        <v>5970</v>
      </c>
    </row>
    <row r="17" spans="1:13" x14ac:dyDescent="0.25">
      <c r="A17" s="92" t="s">
        <v>422</v>
      </c>
      <c r="B17" s="92" t="s">
        <v>423</v>
      </c>
      <c r="C17" s="92" t="s">
        <v>399</v>
      </c>
      <c r="D17" s="92" t="s">
        <v>468</v>
      </c>
      <c r="E17" s="93">
        <v>11940</v>
      </c>
      <c r="F17" s="98" t="str">
        <f t="shared" si="2"/>
        <v>000848</v>
      </c>
      <c r="G17" s="31" t="str">
        <f t="shared" si="0"/>
        <v xml:space="preserve">Муллакаев Ибрахим Фидаилевич                      </v>
      </c>
      <c r="H17" s="31" t="str">
        <f t="shared" si="3"/>
        <v>5а доп апрель</v>
      </c>
      <c r="I17" s="94" t="s">
        <v>396</v>
      </c>
      <c r="J17" s="31">
        <v>92701000</v>
      </c>
      <c r="M17" s="31">
        <f t="shared" si="1"/>
        <v>11940</v>
      </c>
    </row>
    <row r="18" spans="1:13" x14ac:dyDescent="0.25">
      <c r="A18" s="92" t="s">
        <v>424</v>
      </c>
      <c r="B18" s="92" t="s">
        <v>425</v>
      </c>
      <c r="C18" s="92" t="s">
        <v>399</v>
      </c>
      <c r="D18" s="92" t="s">
        <v>468</v>
      </c>
      <c r="E18" s="93">
        <v>11940</v>
      </c>
      <c r="F18" s="98" t="str">
        <f t="shared" si="2"/>
        <v>000858</v>
      </c>
      <c r="G18" s="31" t="str">
        <f t="shared" si="0"/>
        <v xml:space="preserve">Мустафин Султан Радикович                         </v>
      </c>
      <c r="H18" s="31" t="str">
        <f t="shared" si="3"/>
        <v>5а доп апрель</v>
      </c>
      <c r="I18" s="94" t="s">
        <v>396</v>
      </c>
      <c r="J18" s="31">
        <v>92701000</v>
      </c>
      <c r="M18" s="31">
        <f t="shared" si="1"/>
        <v>11940</v>
      </c>
    </row>
    <row r="19" spans="1:13" x14ac:dyDescent="0.25">
      <c r="A19" s="92" t="s">
        <v>426</v>
      </c>
      <c r="B19" s="92" t="s">
        <v>427</v>
      </c>
      <c r="C19" s="92" t="s">
        <v>399</v>
      </c>
      <c r="D19" s="92" t="s">
        <v>468</v>
      </c>
      <c r="E19" s="93">
        <v>5970</v>
      </c>
      <c r="F19" s="98" t="str">
        <f t="shared" si="2"/>
        <v>000852</v>
      </c>
      <c r="G19" s="31" t="str">
        <f t="shared" si="0"/>
        <v xml:space="preserve">Олудин Никита Алексеевич                          </v>
      </c>
      <c r="H19" s="31" t="str">
        <f t="shared" si="3"/>
        <v>5а доп апрель</v>
      </c>
      <c r="I19" s="94" t="s">
        <v>396</v>
      </c>
      <c r="J19" s="31">
        <v>92701000</v>
      </c>
      <c r="M19" s="31">
        <f t="shared" si="1"/>
        <v>5970</v>
      </c>
    </row>
    <row r="20" spans="1:13" x14ac:dyDescent="0.25">
      <c r="A20" s="92" t="s">
        <v>428</v>
      </c>
      <c r="B20" s="92" t="s">
        <v>429</v>
      </c>
      <c r="C20" s="92" t="s">
        <v>399</v>
      </c>
      <c r="D20" s="92" t="s">
        <v>468</v>
      </c>
      <c r="E20" s="93">
        <v>11940</v>
      </c>
      <c r="F20" s="98" t="str">
        <f t="shared" si="2"/>
        <v>000855</v>
      </c>
      <c r="G20" s="31" t="str">
        <f t="shared" si="0"/>
        <v xml:space="preserve">Фатхутдинов Карим Динарович                       </v>
      </c>
      <c r="H20" s="31" t="str">
        <f t="shared" si="3"/>
        <v>5а доп апрель</v>
      </c>
      <c r="I20" s="94" t="s">
        <v>396</v>
      </c>
      <c r="J20" s="31">
        <v>92701000</v>
      </c>
      <c r="M20" s="31">
        <f t="shared" si="1"/>
        <v>11940</v>
      </c>
    </row>
    <row r="21" spans="1:13" x14ac:dyDescent="0.25">
      <c r="A21" s="92" t="s">
        <v>430</v>
      </c>
      <c r="B21" s="92" t="s">
        <v>431</v>
      </c>
      <c r="C21" s="92" t="s">
        <v>399</v>
      </c>
      <c r="D21" s="92" t="s">
        <v>468</v>
      </c>
      <c r="E21" s="93">
        <v>5970</v>
      </c>
      <c r="F21" s="98" t="str">
        <f t="shared" si="2"/>
        <v>000850</v>
      </c>
      <c r="G21" s="31" t="str">
        <f t="shared" si="0"/>
        <v xml:space="preserve">Хаертдинов Мурат Наилевич                         </v>
      </c>
      <c r="H21" s="31" t="str">
        <f t="shared" si="3"/>
        <v>5а доп апрель</v>
      </c>
      <c r="I21" s="94" t="s">
        <v>396</v>
      </c>
      <c r="J21" s="31">
        <v>92701000</v>
      </c>
      <c r="M21" s="31">
        <f t="shared" si="1"/>
        <v>5970</v>
      </c>
    </row>
    <row r="22" spans="1:13" x14ac:dyDescent="0.25">
      <c r="A22" s="92" t="s">
        <v>432</v>
      </c>
      <c r="B22" s="92" t="s">
        <v>433</v>
      </c>
      <c r="C22" s="92" t="s">
        <v>399</v>
      </c>
      <c r="D22" s="92" t="s">
        <v>468</v>
      </c>
      <c r="E22" s="93">
        <v>5970</v>
      </c>
      <c r="F22" s="98" t="str">
        <f t="shared" si="2"/>
        <v>000845</v>
      </c>
      <c r="G22" s="31" t="str">
        <f t="shared" si="0"/>
        <v xml:space="preserve">Шаммасов Мансур Ренатович                         </v>
      </c>
      <c r="H22" s="31" t="str">
        <f t="shared" si="3"/>
        <v>5а доп апрель</v>
      </c>
      <c r="I22" s="94" t="s">
        <v>396</v>
      </c>
      <c r="J22" s="31">
        <v>92701000</v>
      </c>
      <c r="M22" s="31">
        <f t="shared" si="1"/>
        <v>5970</v>
      </c>
    </row>
    <row r="23" spans="1:13" x14ac:dyDescent="0.25">
      <c r="A23" s="92" t="s">
        <v>434</v>
      </c>
      <c r="B23" s="92" t="s">
        <v>435</v>
      </c>
      <c r="C23" s="92" t="s">
        <v>399</v>
      </c>
      <c r="D23" s="92" t="s">
        <v>468</v>
      </c>
      <c r="E23" s="93">
        <v>5970</v>
      </c>
      <c r="F23" s="98" t="str">
        <f t="shared" si="2"/>
        <v>000859</v>
      </c>
      <c r="G23" s="31" t="str">
        <f t="shared" si="0"/>
        <v xml:space="preserve">Шарафутдинов Тагир Азатович                       </v>
      </c>
      <c r="H23" s="31" t="str">
        <f t="shared" si="3"/>
        <v>5а доп апрель</v>
      </c>
      <c r="I23" s="94" t="s">
        <v>396</v>
      </c>
      <c r="J23" s="31">
        <v>92701000</v>
      </c>
      <c r="M23" s="31">
        <f t="shared" si="1"/>
        <v>5970</v>
      </c>
    </row>
    <row r="24" spans="1:13" x14ac:dyDescent="0.25">
      <c r="A24" s="92" t="s">
        <v>436</v>
      </c>
      <c r="B24" s="92" t="s">
        <v>437</v>
      </c>
      <c r="C24" s="92" t="s">
        <v>399</v>
      </c>
      <c r="D24" s="92" t="s">
        <v>468</v>
      </c>
      <c r="E24" s="93">
        <v>5970</v>
      </c>
      <c r="F24" s="98" t="str">
        <f t="shared" si="2"/>
        <v>000862</v>
      </c>
      <c r="G24" s="31" t="str">
        <f t="shared" si="0"/>
        <v xml:space="preserve">Яруллин Халиль Фаилевич                           </v>
      </c>
      <c r="H24" s="31" t="str">
        <f t="shared" si="3"/>
        <v>5а доп апрель</v>
      </c>
      <c r="I24" s="94" t="s">
        <v>396</v>
      </c>
      <c r="J24" s="31">
        <v>92701000</v>
      </c>
      <c r="M24" s="31">
        <f t="shared" si="1"/>
        <v>5970</v>
      </c>
    </row>
    <row r="25" spans="1:13" x14ac:dyDescent="0.25">
      <c r="F25" s="98" t="str">
        <f t="shared" si="2"/>
        <v/>
      </c>
      <c r="G25" s="31">
        <f t="shared" si="0"/>
        <v>0</v>
      </c>
      <c r="H25" s="31" t="str">
        <f t="shared" si="3"/>
        <v xml:space="preserve"> </v>
      </c>
      <c r="I25" s="94" t="s">
        <v>396</v>
      </c>
      <c r="J25" s="31">
        <v>92701000</v>
      </c>
      <c r="M25" s="31">
        <f t="shared" si="1"/>
        <v>0</v>
      </c>
    </row>
    <row r="26" spans="1:13" x14ac:dyDescent="0.25">
      <c r="F26" s="98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4" t="s">
        <v>396</v>
      </c>
      <c r="J26" s="31">
        <v>92701000</v>
      </c>
      <c r="M26" s="31">
        <f t="shared" si="1"/>
        <v>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ref="G45:G108" si="4">B45</f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ref="M62:M125" si="5">E62</f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ref="F65:F128" si="6">TRIM(A65)</f>
        <v/>
      </c>
      <c r="G65" s="31">
        <f t="shared" si="4"/>
        <v>0</v>
      </c>
      <c r="H65" s="31" t="str">
        <f t="shared" ref="H65:H128" si="7">CONCATENATE(TRIM(C65)," ",D65)</f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ref="G109:G172" si="8">B109</f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ref="M126:M189" si="9">E126</f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ref="F129:F192" si="10">TRIM(A129)</f>
        <v/>
      </c>
      <c r="G129" s="31">
        <f t="shared" si="8"/>
        <v>0</v>
      </c>
      <c r="H129" s="31" t="str">
        <f t="shared" ref="H129:H192" si="11">CONCATENATE(TRIM(C129)," ",D129)</f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ref="G173:G236" si="12">B173</f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ref="M190:M253" si="13">E190</f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ref="F193:F256" si="14">TRIM(A193)</f>
        <v/>
      </c>
      <c r="G193" s="31">
        <f t="shared" si="12"/>
        <v>0</v>
      </c>
      <c r="H193" s="31" t="str">
        <f t="shared" ref="H193:H256" si="15">CONCATENATE(TRIM(C193)," ",D193)</f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ref="G237:G300" si="16">B237</f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ref="M254:M317" si="17">E254</f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ref="F257:F320" si="18">TRIM(A257)</f>
        <v/>
      </c>
      <c r="G257" s="31">
        <f t="shared" si="16"/>
        <v>0</v>
      </c>
      <c r="H257" s="31" t="str">
        <f t="shared" ref="H257:H320" si="19">CONCATENATE(TRIM(C257)," ",D257)</f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ref="G301:G364" si="20">B301</f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ref="M318:M381" si="21">E318</f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ref="F321:F384" si="22">TRIM(A321)</f>
        <v/>
      </c>
      <c r="G321" s="31">
        <f t="shared" si="20"/>
        <v>0</v>
      </c>
      <c r="H321" s="31" t="str">
        <f t="shared" ref="H321:H384" si="23">CONCATENATE(TRIM(C321)," ",D321)</f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ref="G365:G428" si="24">B365</f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ref="M382:M445" si="25">E382</f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ref="F385:F448" si="26">TRIM(A385)</f>
        <v/>
      </c>
      <c r="G385" s="31">
        <f t="shared" si="24"/>
        <v>0</v>
      </c>
      <c r="H385" s="31" t="str">
        <f t="shared" ref="H385:H448" si="27">CONCATENATE(TRIM(C385)," ",D385)</f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ref="G429:G492" si="28">B429</f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ref="M446:M509" si="29">E446</f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ref="F449:F512" si="30">TRIM(A449)</f>
        <v/>
      </c>
      <c r="G449" s="31">
        <f t="shared" si="28"/>
        <v>0</v>
      </c>
      <c r="H449" s="31" t="str">
        <f t="shared" ref="H449:H512" si="31">CONCATENATE(TRIM(C449)," ",D449)</f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ref="G493:G556" si="32">B493</f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ref="M510:M573" si="33">E510</f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ref="F513:F576" si="34">TRIM(A513)</f>
        <v/>
      </c>
      <c r="G513" s="31">
        <f t="shared" si="32"/>
        <v>0</v>
      </c>
      <c r="H513" s="31" t="str">
        <f t="shared" ref="H513:H576" si="35">CONCATENATE(TRIM(C513)," ",D513)</f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ref="G557:G620" si="36">B557</f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ref="M574:M637" si="37">E574</f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ref="F577:F640" si="38">TRIM(A577)</f>
        <v/>
      </c>
      <c r="G577" s="31">
        <f t="shared" si="36"/>
        <v>0</v>
      </c>
      <c r="H577" s="31" t="str">
        <f t="shared" ref="H577:H640" si="39">CONCATENATE(TRIM(C577)," ",D577)</f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ref="G621:G684" si="40">B621</f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ref="M638:M701" si="41">E638</f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ref="F641:F704" si="42">TRIM(A641)</f>
        <v/>
      </c>
      <c r="G641" s="31">
        <f t="shared" si="40"/>
        <v>0</v>
      </c>
      <c r="H641" s="31" t="str">
        <f t="shared" ref="H641:H704" si="43">CONCATENATE(TRIM(C641)," ",D641)</f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ref="G685:G748" si="44">B685</f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ref="M702:M765" si="45">E702</f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ref="F705:F768" si="46">TRIM(A705)</f>
        <v/>
      </c>
      <c r="G705" s="31">
        <f t="shared" si="44"/>
        <v>0</v>
      </c>
      <c r="H705" s="31" t="str">
        <f t="shared" ref="H705:H768" si="47">CONCATENATE(TRIM(C705)," ",D705)</f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ref="G749:G812" si="48">B749</f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ref="M766:M829" si="49">E766</f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ref="F769:F832" si="50">TRIM(A769)</f>
        <v/>
      </c>
      <c r="G769" s="31">
        <f t="shared" si="48"/>
        <v>0</v>
      </c>
      <c r="H769" s="31" t="str">
        <f t="shared" ref="H769:H832" si="51">CONCATENATE(TRIM(C769)," ",D769)</f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ref="G813:G876" si="52">B813</f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ref="M830:M893" si="53">E830</f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ref="F833:F896" si="54">TRIM(A833)</f>
        <v/>
      </c>
      <c r="G833" s="31">
        <f t="shared" si="52"/>
        <v>0</v>
      </c>
      <c r="H833" s="31" t="str">
        <f t="shared" ref="H833:H896" si="55">CONCATENATE(TRIM(C833)," ",D833)</f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ref="G877:G940" si="56">B877</f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ref="M894:M957" si="57">E894</f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ref="F897:F960" si="58">TRIM(A897)</f>
        <v/>
      </c>
      <c r="G897" s="31">
        <f t="shared" si="56"/>
        <v>0</v>
      </c>
      <c r="H897" s="31" t="str">
        <f t="shared" ref="H897:H960" si="59">CONCATENATE(TRIM(C897)," ",D897)</f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ref="G941:G1004" si="60">B941</f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ref="M958:M1021" si="61">E958</f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ref="F961:F1024" si="62">TRIM(A961)</f>
        <v/>
      </c>
      <c r="G961" s="31">
        <f t="shared" si="60"/>
        <v>0</v>
      </c>
      <c r="H961" s="31" t="str">
        <f t="shared" ref="H961:H1024" si="63">CONCATENATE(TRIM(C961)," ",D961)</f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ref="G1005:G1068" si="64">B1005</f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ref="M1022:M1085" si="65">E1022</f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ref="F1025:F1088" si="66">TRIM(A1025)</f>
        <v/>
      </c>
      <c r="G1025" s="31">
        <f t="shared" si="64"/>
        <v>0</v>
      </c>
      <c r="H1025" s="31" t="str">
        <f t="shared" ref="H1025:H1088" si="67">CONCATENATE(TRIM(C1025)," ",D1025)</f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ref="G1069:G1132" si="68">B1069</f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ref="M1086:M1149" si="69">E1086</f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ref="F1089:F1152" si="70">TRIM(A1089)</f>
        <v/>
      </c>
      <c r="G1089" s="31">
        <f t="shared" si="68"/>
        <v>0</v>
      </c>
      <c r="H1089" s="31" t="str">
        <f t="shared" ref="H1089:H1152" si="71">CONCATENATE(TRIM(C1089)," ",D1089)</f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ref="G1133:G1196" si="72">B1133</f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ref="M1150:M1213" si="73">E1150</f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ref="F1153:F1216" si="74">TRIM(A1153)</f>
        <v/>
      </c>
      <c r="G1153" s="31">
        <f t="shared" si="72"/>
        <v>0</v>
      </c>
      <c r="H1153" s="31" t="str">
        <f t="shared" ref="H1153:H1216" si="75">CONCATENATE(TRIM(C1153)," ",D1153)</f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ref="G1197:G1260" si="76">B1197</f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ref="M1214:M1277" si="77">E1214</f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ref="F1217:F1280" si="78">TRIM(A1217)</f>
        <v/>
      </c>
      <c r="G1217" s="31">
        <f t="shared" si="76"/>
        <v>0</v>
      </c>
      <c r="H1217" s="31" t="str">
        <f t="shared" ref="H1217:H1280" si="79">CONCATENATE(TRIM(C1217)," ",D1217)</f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ref="G1261:G1295" si="80">B1261</f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ref="M1278:M1295" si="81">E1278</f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81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si="81"/>
        <v>0</v>
      </c>
    </row>
    <row r="1281" spans="6:13" x14ac:dyDescent="0.25">
      <c r="F1281" s="98" t="str">
        <f t="shared" ref="F1281:F1295" si="82">TRIM(A1281)</f>
        <v/>
      </c>
      <c r="G1281" s="31">
        <f t="shared" si="80"/>
        <v>0</v>
      </c>
      <c r="H1281" s="31" t="str">
        <f t="shared" ref="H1281:H1306" si="83">CONCATENATE(TRIM(C1281)," ",D1281)</f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G1296" s="31">
        <f t="shared" ref="G1296:G1306" si="84">B1296</f>
        <v>0</v>
      </c>
      <c r="H1296" s="31" t="str">
        <f t="shared" si="83"/>
        <v xml:space="preserve"> </v>
      </c>
      <c r="I1296" s="94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4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161220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397</v>
      </c>
      <c r="B7" s="84" t="s">
        <v>398</v>
      </c>
      <c r="C7" s="84" t="s">
        <v>469</v>
      </c>
      <c r="D7" s="84" t="s">
        <v>396</v>
      </c>
      <c r="E7" s="87">
        <v>92701000</v>
      </c>
      <c r="F7" s="84"/>
      <c r="G7" s="84"/>
      <c r="H7" s="86">
        <v>5970</v>
      </c>
    </row>
    <row r="8" spans="1:8" x14ac:dyDescent="0.25">
      <c r="A8" s="95" t="s">
        <v>400</v>
      </c>
      <c r="B8" s="95" t="s">
        <v>401</v>
      </c>
      <c r="C8" s="95" t="s">
        <v>469</v>
      </c>
      <c r="D8" s="95" t="s">
        <v>396</v>
      </c>
      <c r="E8" s="95">
        <v>92701000</v>
      </c>
      <c r="F8" s="95"/>
      <c r="G8" s="95"/>
      <c r="H8" s="96">
        <v>11940</v>
      </c>
    </row>
    <row r="9" spans="1:8" x14ac:dyDescent="0.25">
      <c r="A9" s="95" t="s">
        <v>402</v>
      </c>
      <c r="B9" s="95" t="s">
        <v>403</v>
      </c>
      <c r="C9" s="95" t="s">
        <v>469</v>
      </c>
      <c r="D9" s="95" t="s">
        <v>396</v>
      </c>
      <c r="E9" s="95">
        <v>92701000</v>
      </c>
      <c r="F9" s="95"/>
      <c r="G9" s="95"/>
      <c r="H9" s="96">
        <v>0</v>
      </c>
    </row>
    <row r="10" spans="1:8" x14ac:dyDescent="0.25">
      <c r="A10" s="95" t="s">
        <v>404</v>
      </c>
      <c r="B10" s="95" t="s">
        <v>405</v>
      </c>
      <c r="C10" s="95" t="s">
        <v>469</v>
      </c>
      <c r="D10" s="95" t="s">
        <v>396</v>
      </c>
      <c r="E10" s="95">
        <v>92701000</v>
      </c>
      <c r="F10" s="95"/>
      <c r="G10" s="95"/>
      <c r="H10" s="96">
        <v>5970</v>
      </c>
    </row>
    <row r="11" spans="1:8" x14ac:dyDescent="0.25">
      <c r="A11" s="95" t="s">
        <v>439</v>
      </c>
      <c r="B11" s="95" t="s">
        <v>440</v>
      </c>
      <c r="C11" s="95" t="s">
        <v>469</v>
      </c>
      <c r="D11" s="95" t="s">
        <v>396</v>
      </c>
      <c r="E11" s="95">
        <v>92701000</v>
      </c>
      <c r="F11" s="95"/>
      <c r="G11" s="95"/>
      <c r="H11" s="96">
        <v>11940</v>
      </c>
    </row>
    <row r="12" spans="1:8" x14ac:dyDescent="0.25">
      <c r="A12" s="95" t="s">
        <v>406</v>
      </c>
      <c r="B12" s="95" t="s">
        <v>407</v>
      </c>
      <c r="C12" s="95" t="s">
        <v>469</v>
      </c>
      <c r="D12" s="95" t="s">
        <v>396</v>
      </c>
      <c r="E12" s="95">
        <v>92701000</v>
      </c>
      <c r="F12" s="95"/>
      <c r="G12" s="95"/>
      <c r="H12" s="96">
        <v>5970</v>
      </c>
    </row>
    <row r="13" spans="1:8" x14ac:dyDescent="0.25">
      <c r="A13" s="95" t="s">
        <v>408</v>
      </c>
      <c r="B13" s="95" t="s">
        <v>409</v>
      </c>
      <c r="C13" s="95" t="s">
        <v>469</v>
      </c>
      <c r="D13" s="95" t="s">
        <v>396</v>
      </c>
      <c r="E13" s="95">
        <v>92701000</v>
      </c>
      <c r="F13" s="95"/>
      <c r="G13" s="95"/>
      <c r="H13" s="96">
        <v>11940</v>
      </c>
    </row>
    <row r="14" spans="1:8" x14ac:dyDescent="0.25">
      <c r="A14" s="95" t="s">
        <v>410</v>
      </c>
      <c r="B14" s="95" t="s">
        <v>411</v>
      </c>
      <c r="C14" s="95" t="s">
        <v>469</v>
      </c>
      <c r="D14" s="95" t="s">
        <v>396</v>
      </c>
      <c r="E14" s="95">
        <v>92701000</v>
      </c>
      <c r="F14" s="95"/>
      <c r="G14" s="95"/>
      <c r="H14" s="96">
        <v>5970</v>
      </c>
    </row>
    <row r="15" spans="1:8" x14ac:dyDescent="0.25">
      <c r="A15" s="95" t="s">
        <v>412</v>
      </c>
      <c r="B15" s="95" t="s">
        <v>413</v>
      </c>
      <c r="C15" s="95" t="s">
        <v>469</v>
      </c>
      <c r="D15" s="95" t="s">
        <v>396</v>
      </c>
      <c r="E15" s="95">
        <v>92701000</v>
      </c>
      <c r="F15" s="95"/>
      <c r="G15" s="95"/>
      <c r="H15" s="96">
        <v>5970</v>
      </c>
    </row>
    <row r="16" spans="1:8" x14ac:dyDescent="0.25">
      <c r="A16" s="95" t="s">
        <v>464</v>
      </c>
      <c r="B16" s="95" t="s">
        <v>465</v>
      </c>
      <c r="C16" s="95" t="s">
        <v>469</v>
      </c>
      <c r="D16" s="95" t="s">
        <v>396</v>
      </c>
      <c r="E16" s="95">
        <v>92701000</v>
      </c>
      <c r="F16" s="95"/>
      <c r="G16" s="95"/>
      <c r="H16" s="96">
        <v>5970</v>
      </c>
    </row>
    <row r="17" spans="1:8" x14ac:dyDescent="0.25">
      <c r="A17" s="95" t="s">
        <v>414</v>
      </c>
      <c r="B17" s="95" t="s">
        <v>415</v>
      </c>
      <c r="C17" s="95" t="s">
        <v>469</v>
      </c>
      <c r="D17" s="95" t="s">
        <v>396</v>
      </c>
      <c r="E17" s="95">
        <v>92701000</v>
      </c>
      <c r="F17" s="95"/>
      <c r="G17" s="95"/>
      <c r="H17" s="96">
        <v>5970</v>
      </c>
    </row>
    <row r="18" spans="1:8" x14ac:dyDescent="0.25">
      <c r="A18" s="95" t="s">
        <v>416</v>
      </c>
      <c r="B18" s="95" t="s">
        <v>417</v>
      </c>
      <c r="C18" s="95" t="s">
        <v>469</v>
      </c>
      <c r="D18" s="95" t="s">
        <v>396</v>
      </c>
      <c r="E18" s="95">
        <v>92701000</v>
      </c>
      <c r="F18" s="95"/>
      <c r="G18" s="95"/>
      <c r="H18" s="96">
        <v>6000</v>
      </c>
    </row>
    <row r="19" spans="1:8" x14ac:dyDescent="0.25">
      <c r="A19" s="95" t="s">
        <v>418</v>
      </c>
      <c r="B19" s="95" t="s">
        <v>419</v>
      </c>
      <c r="C19" s="95" t="s">
        <v>469</v>
      </c>
      <c r="D19" s="95" t="s">
        <v>396</v>
      </c>
      <c r="E19" s="95">
        <v>92701000</v>
      </c>
      <c r="F19" s="95"/>
      <c r="G19" s="95"/>
      <c r="H19" s="96">
        <v>5970</v>
      </c>
    </row>
    <row r="20" spans="1:8" x14ac:dyDescent="0.25">
      <c r="A20" s="95" t="s">
        <v>466</v>
      </c>
      <c r="B20" s="95" t="s">
        <v>467</v>
      </c>
      <c r="C20" s="95" t="s">
        <v>469</v>
      </c>
      <c r="D20" s="95" t="s">
        <v>396</v>
      </c>
      <c r="E20" s="95">
        <v>92701000</v>
      </c>
      <c r="F20" s="95"/>
      <c r="G20" s="95"/>
      <c r="H20" s="96">
        <v>0</v>
      </c>
    </row>
    <row r="21" spans="1:8" x14ac:dyDescent="0.25">
      <c r="A21" s="95" t="s">
        <v>420</v>
      </c>
      <c r="B21" s="95" t="s">
        <v>421</v>
      </c>
      <c r="C21" s="95" t="s">
        <v>469</v>
      </c>
      <c r="D21" s="95" t="s">
        <v>396</v>
      </c>
      <c r="E21" s="95">
        <v>92701000</v>
      </c>
      <c r="F21" s="95"/>
      <c r="G21" s="95"/>
      <c r="H21" s="96">
        <v>5970</v>
      </c>
    </row>
    <row r="22" spans="1:8" x14ac:dyDescent="0.25">
      <c r="A22" s="95" t="s">
        <v>422</v>
      </c>
      <c r="B22" s="95" t="s">
        <v>423</v>
      </c>
      <c r="C22" s="95" t="s">
        <v>469</v>
      </c>
      <c r="D22" s="95" t="s">
        <v>396</v>
      </c>
      <c r="E22" s="95">
        <v>92701000</v>
      </c>
      <c r="F22" s="95"/>
      <c r="G22" s="95"/>
      <c r="H22" s="96">
        <v>11940</v>
      </c>
    </row>
    <row r="23" spans="1:8" x14ac:dyDescent="0.25">
      <c r="A23" s="95" t="s">
        <v>424</v>
      </c>
      <c r="B23" s="95" t="s">
        <v>425</v>
      </c>
      <c r="C23" s="95" t="s">
        <v>469</v>
      </c>
      <c r="D23" s="95" t="s">
        <v>396</v>
      </c>
      <c r="E23" s="95">
        <v>92701000</v>
      </c>
      <c r="F23" s="95"/>
      <c r="G23" s="95"/>
      <c r="H23" s="96">
        <v>11940</v>
      </c>
    </row>
    <row r="24" spans="1:8" x14ac:dyDescent="0.25">
      <c r="A24" s="95" t="s">
        <v>426</v>
      </c>
      <c r="B24" s="95" t="s">
        <v>427</v>
      </c>
      <c r="C24" s="95" t="s">
        <v>469</v>
      </c>
      <c r="D24" s="95" t="s">
        <v>396</v>
      </c>
      <c r="E24" s="95">
        <v>92701000</v>
      </c>
      <c r="F24" s="95"/>
      <c r="G24" s="95"/>
      <c r="H24" s="96">
        <v>5970</v>
      </c>
    </row>
    <row r="25" spans="1:8" x14ac:dyDescent="0.25">
      <c r="A25" s="95" t="s">
        <v>428</v>
      </c>
      <c r="B25" s="95" t="s">
        <v>429</v>
      </c>
      <c r="C25" s="95" t="s">
        <v>469</v>
      </c>
      <c r="D25" s="95" t="s">
        <v>396</v>
      </c>
      <c r="E25" s="95">
        <v>92701000</v>
      </c>
      <c r="F25" s="95"/>
      <c r="G25" s="95"/>
      <c r="H25" s="96">
        <v>11940</v>
      </c>
    </row>
    <row r="26" spans="1:8" x14ac:dyDescent="0.25">
      <c r="A26" s="95" t="s">
        <v>430</v>
      </c>
      <c r="B26" s="95" t="s">
        <v>431</v>
      </c>
      <c r="C26" s="95" t="s">
        <v>469</v>
      </c>
      <c r="D26" s="95" t="s">
        <v>396</v>
      </c>
      <c r="E26" s="95">
        <v>92701000</v>
      </c>
      <c r="F26" s="95"/>
      <c r="G26" s="95"/>
      <c r="H26" s="96">
        <v>5970</v>
      </c>
    </row>
    <row r="27" spans="1:8" x14ac:dyDescent="0.25">
      <c r="A27" s="95" t="s">
        <v>432</v>
      </c>
      <c r="B27" s="95" t="s">
        <v>433</v>
      </c>
      <c r="C27" s="95" t="s">
        <v>469</v>
      </c>
      <c r="D27" s="95" t="s">
        <v>396</v>
      </c>
      <c r="E27" s="95">
        <v>92701000</v>
      </c>
      <c r="F27" s="95"/>
      <c r="G27" s="95"/>
      <c r="H27" s="96">
        <v>5970</v>
      </c>
    </row>
    <row r="28" spans="1:8" x14ac:dyDescent="0.25">
      <c r="A28" s="95" t="s">
        <v>434</v>
      </c>
      <c r="B28" s="95" t="s">
        <v>435</v>
      </c>
      <c r="C28" s="95" t="s">
        <v>469</v>
      </c>
      <c r="D28" s="95" t="s">
        <v>396</v>
      </c>
      <c r="E28" s="95">
        <v>92701000</v>
      </c>
      <c r="F28" s="95"/>
      <c r="G28" s="95"/>
      <c r="H28" s="96">
        <v>5970</v>
      </c>
    </row>
    <row r="29" spans="1:8" x14ac:dyDescent="0.25">
      <c r="A29" s="95" t="s">
        <v>436</v>
      </c>
      <c r="B29" s="95" t="s">
        <v>437</v>
      </c>
      <c r="C29" s="95" t="s">
        <v>469</v>
      </c>
      <c r="D29" s="95" t="s">
        <v>396</v>
      </c>
      <c r="E29" s="95">
        <v>92701000</v>
      </c>
      <c r="F29" s="95"/>
      <c r="G29" s="95"/>
      <c r="H29" s="96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438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438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438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438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438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438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446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438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446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438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447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438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447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438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448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438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448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438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449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438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449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438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438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438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438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438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438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438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438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438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438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438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456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456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457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457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458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438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458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438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459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438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459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438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461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438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461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438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462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438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462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438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463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438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463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438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2023-04-13T14:59:24Z</dcterms:modified>
</cp:coreProperties>
</file>