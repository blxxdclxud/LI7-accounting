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8" i="280" l="1"/>
  <c r="C519" i="280"/>
  <c r="C532" i="280" s="1"/>
  <c r="C517" i="280"/>
  <c r="C530" i="280" s="1"/>
  <c r="C515" i="280"/>
  <c r="C505" i="280"/>
  <c r="C503" i="280"/>
  <c r="C492" i="280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47" i="280"/>
  <c r="C438" i="280"/>
  <c r="C436" i="280"/>
  <c r="C434" i="280"/>
  <c r="C424" i="280"/>
  <c r="C420" i="280"/>
  <c r="C411" i="280"/>
  <c r="C409" i="280"/>
  <c r="C422" i="280" s="1"/>
  <c r="C407" i="280"/>
  <c r="C397" i="280"/>
  <c r="C395" i="280"/>
  <c r="C393" i="280"/>
  <c r="C384" i="280"/>
  <c r="C382" i="280"/>
  <c r="C380" i="280"/>
  <c r="C370" i="280"/>
  <c r="C366" i="280"/>
  <c r="C357" i="280"/>
  <c r="C355" i="280"/>
  <c r="C368" i="280" s="1"/>
  <c r="C353" i="280"/>
  <c r="C343" i="280"/>
  <c r="C341" i="280"/>
  <c r="C339" i="280"/>
  <c r="C330" i="280"/>
  <c r="C328" i="280"/>
  <c r="C326" i="280"/>
  <c r="C316" i="280"/>
  <c r="C312" i="280"/>
  <c r="C303" i="280"/>
  <c r="C301" i="280"/>
  <c r="C314" i="280" s="1"/>
  <c r="C299" i="280"/>
  <c r="C289" i="280"/>
  <c r="C287" i="280"/>
  <c r="C285" i="280"/>
  <c r="C276" i="280"/>
  <c r="C274" i="280"/>
  <c r="C272" i="280"/>
  <c r="C262" i="280"/>
  <c r="C258" i="280"/>
  <c r="C249" i="280"/>
  <c r="C247" i="280"/>
  <c r="C260" i="280" s="1"/>
  <c r="C245" i="280"/>
  <c r="C235" i="280"/>
  <c r="C233" i="280"/>
  <c r="C231" i="280"/>
  <c r="C222" i="280"/>
  <c r="C220" i="280"/>
  <c r="C218" i="280"/>
  <c r="C208" i="280"/>
  <c r="C204" i="280"/>
  <c r="C195" i="280"/>
  <c r="C193" i="280"/>
  <c r="C206" i="280" s="1"/>
  <c r="C191" i="280"/>
  <c r="C181" i="280"/>
  <c r="C177" i="280"/>
  <c r="C168" i="280"/>
  <c r="C166" i="280"/>
  <c r="C179" i="280" s="1"/>
  <c r="C164" i="280"/>
  <c r="C154" i="280"/>
  <c r="C150" i="280"/>
  <c r="C141" i="280"/>
  <c r="C139" i="280"/>
  <c r="C152" i="280" s="1"/>
  <c r="C137" i="280"/>
  <c r="C127" i="280"/>
  <c r="C125" i="280"/>
  <c r="C123" i="280"/>
  <c r="C114" i="280"/>
  <c r="C112" i="280"/>
  <c r="C110" i="280"/>
  <c r="C100" i="280"/>
  <c r="C96" i="280"/>
  <c r="C87" i="280"/>
  <c r="C85" i="280"/>
  <c r="C98" i="280" s="1"/>
  <c r="C83" i="280"/>
  <c r="C73" i="280"/>
  <c r="C71" i="280"/>
  <c r="C69" i="280"/>
  <c r="C60" i="280"/>
  <c r="C58" i="280"/>
  <c r="C56" i="280"/>
  <c r="C46" i="280"/>
  <c r="C42" i="280"/>
  <c r="C33" i="280"/>
  <c r="C31" i="280"/>
  <c r="C44" i="280" s="1"/>
  <c r="C29" i="280"/>
  <c r="C19" i="280"/>
  <c r="C17" i="280"/>
  <c r="C15" i="280"/>
  <c r="C6" i="280"/>
  <c r="C4" i="280"/>
  <c r="C2" i="280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<sst xmlns="http://schemas.openxmlformats.org/spreadsheetml/2006/main" count="2483" uniqueCount="477">
  <si>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</si>
  <si>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</si>
  <si>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</si>
  <si>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</si>
  <si>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</si>
  <si>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</si>
  <si>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</si>
  <si>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</si>
  <si>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</si>
  <si>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</si>
  <si>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</si>
  <si>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</si>
  <si>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</si>
  <si>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</si>
  <si>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</si>
  <si>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</si>
  <si>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</si>
  <si>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</si>
  <si>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</si>
  <si>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</si>
  <si>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</si>
  <si>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</si>
  <si>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</si>
  <si>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</si>
  <si>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</si>
  <si>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</si>
  <si>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</si>
  <si>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</si>
  <si>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</si>
  <si>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</si>
  <si>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</si>
  <si>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</si>
  <si>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</si>
  <si>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</si>
  <si>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</si>
  <si>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</si>
  <si>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</si>
  <si>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</si>
  <si>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</si>
  <si>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</si>
  <si>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</si>
  <si>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</si>
  <si>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</si>
  <si>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</si>
  <si>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</si>
  <si>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</si>
  <si>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</si>
  <si>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</si>
  <si>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</si>
  <si>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</si>
  <si>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</si>
  <si>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</si>
  <si>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</si>
  <si>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</si>
  <si>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</si>
  <si>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</si>
  <si>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</si>
  <si>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</si>
  <si>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</si>
  <si>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</si>
  <si>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</si>
  <si>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</si>
  <si>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</si>
  <si>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</si>
  <si>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</si>
  <si>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</si>
  <si>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</si>
  <si>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</si>
  <si>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</si>
  <si>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</si>
  <si>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</si>
  <si>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</si>
  <si>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</si>
  <si>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</si>
  <si>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</si>
  <si>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</si>
  <si>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</si>
  <si>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</si>
  <si>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</si>
  <si>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</si>
  <si>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</si>
  <si>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</si>
  <si>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</si>
  <si>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</si>
  <si>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</si>
  <si>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</si>
  <si>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</si>
  <si>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</si>
  <si>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</si>
  <si>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</si>
  <si>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</si>
  <si>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</si>
  <si>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</si>
  <si>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</si>
  <si>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</si>
  <si>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</si>
  <si>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</si>
  <si>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</si>
  <si>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</si>
  <si>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</si>
  <si>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</si>
  <si>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</si>
  <si>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</si>
  <si>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</si>
  <si>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</si>
  <si>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</si>
  <si>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</si>
  <si>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</si>
  <si>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</si>
  <si>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</si>
  <si>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</si>
  <si>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</si>
  <si>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</si>
  <si>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</si>
  <si>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</si>
  <si>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</si>
  <si>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</si>
  <si>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</si>
  <si>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</si>
  <si>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</si>
  <si>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</si>
  <si>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</si>
  <si>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</si>
  <si>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</si>
  <si>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</si>
  <si>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</si>
  <si>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</si>
  <si>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</si>
  <si>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</si>
  <si>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</si>
  <si>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</si>
  <si>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</si>
  <si>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</si>
  <si>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</si>
  <si>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</si>
  <si>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</si>
  <si>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</si>
  <si>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</si>
  <si>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</si>
  <si>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</si>
  <si>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</si>
  <si>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</si>
  <si>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</si>
  <si>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</si>
  <si>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</si>
  <si>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</si>
  <si>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</si>
  <si>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</si>
  <si>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</si>
  <si>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</si>
  <si>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</si>
  <si>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</si>
  <si>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</si>
  <si>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</si>
  <si>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</si>
  <si>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</si>
  <si>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</si>
  <si>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</si>
  <si>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</si>
  <si>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</si>
  <si>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</si>
  <si>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</si>
  <si>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</si>
  <si>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</si>
  <si>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</si>
  <si>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</si>
  <si>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</si>
  <si>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</si>
  <si>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</si>
  <si>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</si>
  <si>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</si>
  <si>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</si>
  <si>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</si>
  <si>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</si>
  <si>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</si>
  <si>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</si>
  <si>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</si>
  <si>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</si>
  <si>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</si>
  <si>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</si>
  <si>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</si>
  <si>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</si>
  <si>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</si>
  <si>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</si>
  <si>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</si>
  <si>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</si>
  <si>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</si>
  <si>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</si>
  <si>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</si>
  <si>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</si>
  <si>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</si>
  <si>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</si>
  <si>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</si>
  <si>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</si>
  <si>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</si>
  <si>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</si>
  <si>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</si>
  <si>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</si>
  <si>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</si>
  <si>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</si>
  <si>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</si>
  <si>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</si>
  <si>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</si>
  <si>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</si>
  <si>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</si>
  <si>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</si>
  <si>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</si>
  <si>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</si>
  <si>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</si>
  <si>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</si>
  <si>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</si>
  <si>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</si>
  <si>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</si>
  <si>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</si>
  <si>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</si>
  <si>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</si>
  <si>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</si>
  <si>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</si>
  <si>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</si>
  <si>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</si>
  <si>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</si>
  <si>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</si>
  <si>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</si>
  <si>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</si>
  <si>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</si>
  <si>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</si>
  <si>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</si>
  <si>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</si>
  <si>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</si>
  <si>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</si>
  <si>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</si>
  <si>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</si>
  <si>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</si>
  <si>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</si>
  <si>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</si>
  <si>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</si>
  <si>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</si>
  <si>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</si>
  <si>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</si>
  <si>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</si>
  <si>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</si>
  <si>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</si>
  <si>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</si>
  <si>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</si>
  <si>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</si>
  <si>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</si>
  <si>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</si>
  <si>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</si>
  <si>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</si>
  <si>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</si>
  <si>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</si>
  <si>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</si>
  <si>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</si>
  <si>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</si>
  <si>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</si>
  <si>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</si>
  <si>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</si>
  <si>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</si>
  <si>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</si>
  <si>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</si>
  <si>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</si>
  <si>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</si>
  <si>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</si>
  <si>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</si>
  <si>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</si>
  <si>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</si>
  <si>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</si>
  <si>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</si>
  <si>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</si>
  <si>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</si>
  <si>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</si>
  <si>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</si>
  <si>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</si>
  <si>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</si>
  <si>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</si>
  <si>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</si>
  <si>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</si>
  <si>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</si>
  <si>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</si>
  <si>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</si>
  <si>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</si>
  <si>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</si>
  <si>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</si>
  <si>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</si>
  <si>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</si>
  <si>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</si>
  <si>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</si>
  <si>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</si>
  <si>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</si>
  <si>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</si>
  <si>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</si>
  <si>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</si>
  <si>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</si>
  <si>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</si>
  <si>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</si>
  <si>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</si>
  <si>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</si>
  <si>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</si>
  <si>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</si>
  <si>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</si>
  <si>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</si>
  <si>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</si>
  <si>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</si>
  <si>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</si>
  <si>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</si>
  <si>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</si>
  <si>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</si>
  <si>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</si>
  <si>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</si>
  <si>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</si>
  <si>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</si>
  <si>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</si>
  <si>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</si>
  <si>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</si>
  <si>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</si>
  <si>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</si>
  <si>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</si>
  <si>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</si>
  <si>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</si>
  <si>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</si>
  <si>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</si>
  <si>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</si>
  <si>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</si>
  <si>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</si>
  <si>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</si>
  <si>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</si>
  <si>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</si>
  <si>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</si>
  <si>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</si>
  <si>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</si>
  <si>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</si>
  <si>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</si>
  <si>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</si>
  <si>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</si>
  <si>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</si>
  <si>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</si>
  <si>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</si>
  <si>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</si>
  <si>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</si>
  <si>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</si>
  <si>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</si>
  <si>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</si>
  <si>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</si>
  <si>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</si>
  <si>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</si>
  <si>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</si>
  <si>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</si>
  <si>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</si>
  <si>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</si>
  <si>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</si>
  <si>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</si>
  <si>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</si>
  <si>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</si>
  <si>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</si>
  <si>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</si>
  <si>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</si>
  <si>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</si>
  <si>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</si>
  <si>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</si>
  <si>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</si>
  <si>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</si>
  <si>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</si>
  <si>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</si>
  <si>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</si>
  <si>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</si>
  <si>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</si>
  <si>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</si>
  <si>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</si>
  <si>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</si>
  <si>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</si>
  <si>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</si>
  <si>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</si>
  <si>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</si>
  <si>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</si>
  <si>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</si>
  <si>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</si>
  <si>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</si>
  <si>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</si>
  <si>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</si>
  <si>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</si>
  <si>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</si>
  <si>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</si>
  <si>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</si>
  <si>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</si>
  <si>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</si>
  <si>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</si>
  <si>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</si>
  <si>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</si>
  <si>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</si>
  <si>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</si>
  <si>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</si>
  <si>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</si>
  <si>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</si>
  <si>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</si>
  <si>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</si>
  <si>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</si>
  <si>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</si>
  <si>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</si>
  <si>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</si>
  <si>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</si>
  <si>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</si>
  <si>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</si>
  <si>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</si>
  <si>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000865</t>
  </si>
  <si>
    <t xml:space="preserve">Ахметжанов Камиль Алмазович                       </t>
  </si>
  <si>
    <t xml:space="preserve">5б доп              </t>
  </si>
  <si>
    <t>000867</t>
  </si>
  <si>
    <t xml:space="preserve">Бакиров Рустем Азатович                           </t>
  </si>
  <si>
    <t>000868</t>
  </si>
  <si>
    <t xml:space="preserve">Валиев Бахтияр Рустемович                         </t>
  </si>
  <si>
    <t>000887</t>
  </si>
  <si>
    <t xml:space="preserve">Галяветдинов Салим Айратович                      </t>
  </si>
  <si>
    <t>000870</t>
  </si>
  <si>
    <t xml:space="preserve">Гараев Саид Ильясович                             </t>
  </si>
  <si>
    <t>000871</t>
  </si>
  <si>
    <t xml:space="preserve">Гафиятов Кемаль Ренатович                         </t>
  </si>
  <si>
    <t>000873</t>
  </si>
  <si>
    <t xml:space="preserve">Железнов Глеб Андреевич                           </t>
  </si>
  <si>
    <t>000874</t>
  </si>
  <si>
    <t xml:space="preserve">Масленников Платон Алексеевич                     </t>
  </si>
  <si>
    <t>000875</t>
  </si>
  <si>
    <t xml:space="preserve">Махмутов Ахмад Ильясович                          </t>
  </si>
  <si>
    <t>000876</t>
  </si>
  <si>
    <t xml:space="preserve">Мухаметзянов Алим Айратович                       </t>
  </si>
  <si>
    <t>000877</t>
  </si>
  <si>
    <t xml:space="preserve">Мухлисов Азамат Рустамович                        </t>
  </si>
  <si>
    <t>000878</t>
  </si>
  <si>
    <t xml:space="preserve">Нуртдинов Ибрагим Вадимович                       </t>
  </si>
  <si>
    <t>000879</t>
  </si>
  <si>
    <t xml:space="preserve">Садыйков Эмир Дамирович                           </t>
  </si>
  <si>
    <t>000880</t>
  </si>
  <si>
    <t xml:space="preserve">Саляхов Ибрахим Ленарович                         </t>
  </si>
  <si>
    <t>000882</t>
  </si>
  <si>
    <t xml:space="preserve">Усманов Султан Салаватович                        </t>
  </si>
  <si>
    <t>000883</t>
  </si>
  <si>
    <t xml:space="preserve">Хафизов Джамиль Ильшатович                        </t>
  </si>
  <si>
    <t>000884</t>
  </si>
  <si>
    <t xml:space="preserve">Хисамутдинов Карим Альфирович                     </t>
  </si>
  <si>
    <t>000885</t>
  </si>
  <si>
    <t xml:space="preserve">Шафигуллин Юсуф Радикович                         </t>
  </si>
  <si>
    <t>000886</t>
  </si>
  <si>
    <t xml:space="preserve">Щербицкий Ярослав Владимирович                    </t>
  </si>
  <si>
    <t>Сумма: 5970 руб. 00 коп.</t>
  </si>
  <si>
    <t>Сумма: 11940 руб. 00 коп.</t>
  </si>
  <si>
    <t>ЛС: 000886; ФИО обучающегося: Щербицкий Ярослав Владимирович                    ; Назначение: 5б доп январь; КБК: 82100000000000000131; ОКТМО: 92701000</t>
  </si>
  <si>
    <t>ЛС: 000865; ФИО обучающегося: Ахметжанов Камиль Алмазович                       ; Назначение: 5б доп февр; КБК: 82100000000000000131; ОКТМО: 92701000</t>
  </si>
  <si>
    <t>ЛС: 000867; ФИО обучающегося: Бакиров Рустем Азатович                           ; Назначение: 5б доп февр; КБК: 82100000000000000131; ОКТМО: 92701000</t>
  </si>
  <si>
    <t>ЛС: 000868; ФИО обучающегося: Валиев Бахтияр Рустемович                         ; Назначение: 5б доп февр; КБК: 82100000000000000131; ОКТМО: 92701000</t>
  </si>
  <si>
    <t>Сумма: 35820 руб. 00 коп.</t>
  </si>
  <si>
    <t>ЛС: 000887; ФИО обучающегося: Галяветдинов Салим Айратович                      ; Назначение: 5б доп февр; КБК: 82100000000000000131; ОКТМО: 92701000</t>
  </si>
  <si>
    <t>ЛС: 000870; ФИО обучающегося: Гараев Саид Ильясович                             ; Назначение: 5б доп февр; КБК: 82100000000000000131; ОКТМО: 92701000</t>
  </si>
  <si>
    <t>ЛС: 000871; ФИО обучающегося: Гафиятов Кемаль Ренатович                         ; Назначение: 5б доп февр; КБК: 82100000000000000131; ОКТМО: 92701000</t>
  </si>
  <si>
    <t>ЛС: 000873; ФИО обучающегося: Железнов Глеб Андреевич                           ; Назначение: 5б доп февр; КБК: 82100000000000000131; ОКТМО: 92701000</t>
  </si>
  <si>
    <t>ЛС: 000874; ФИО обучающегося: Масленников Платон Алексеевич                     ; Назначение: 5б доп февр; КБК: 82100000000000000131; ОКТМО: 92701000</t>
  </si>
  <si>
    <t>ЛС: 000875; ФИО обучающегося: Махмутов Ахмад Ильясович                          ; Назначение: 5б доп февр; КБК: 82100000000000000131; ОКТМО: 92701000</t>
  </si>
  <si>
    <t>Сумма: 37820 руб. 00 коп.</t>
  </si>
  <si>
    <t>ЛС: 000876; ФИО обучающегося: Мухаметзянов Алим Айратович                       ; Назначение: 5б доп февр; КБК: 82100000000000000131; ОКТМО: 92701000</t>
  </si>
  <si>
    <t>ЛС: 000877; ФИО обучающегося: Мухлисов Азамат Рустамович                        ; Назначение: 5б доп февр; КБК: 82100000000000000131; ОКТМО: 92701000</t>
  </si>
  <si>
    <t>ЛС: 000878; ФИО обучающегося: Нуртдинов Ибрагим Вадимович                       ; Назначение: 5б доп февр; КБК: 82100000000000000131; ОКТМО: 92701000</t>
  </si>
  <si>
    <t>ЛС: 000879; ФИО обучающегося: Садыйков Эмир Дамирович                           ; Назначение: 5б доп февр; КБК: 82100000000000000131; ОКТМО: 92701000</t>
  </si>
  <si>
    <t>ЛС: 000880; ФИО обучающегося: Саляхов Ибрахим Ленарович                         ; Назначение: 5б доп февр; КБК: 82100000000000000131; ОКТМО: 92701000</t>
  </si>
  <si>
    <t>ЛС: 000882; ФИО обучающегося: Усманов Султан Салаватович                        ; Назначение: 5б доп февр; КБК: 82100000000000000131; ОКТМО: 92701000</t>
  </si>
  <si>
    <t>ЛС: 000883; ФИО обучающегося: Хафизов Джамиль Ильшатович                        ; Назначение: 5б доп февр; КБК: 82100000000000000131; ОКТМО: 92701000</t>
  </si>
  <si>
    <t>Сумма: 4920 руб. 00 коп.</t>
  </si>
  <si>
    <t>ЛС: 000884; ФИО обучающегося: Хисамутдинов Карим Альфирович                     ; Назначение: 5б доп февр; КБК: 82100000000000000131; ОКТМО: 92701000</t>
  </si>
  <si>
    <t>ЛС: 000885; ФИО обучающегося: Шафигуллин Юсуф Радикович                         ; Назначение: 5б доп февр; КБК: 82100000000000000131; ОКТМО: 92701000</t>
  </si>
  <si>
    <t>ЛС: 000886; ФИО обучающегося: Щербицкий Ярослав Владимирович                    ; Назначение: 5б доп февр; КБК: 82100000000000000131; ОКТМО: 92701000</t>
  </si>
  <si>
    <t>000881</t>
  </si>
  <si>
    <t xml:space="preserve">Сафиуллин Тимур Ильдарович                        </t>
  </si>
  <si>
    <t>апрель</t>
  </si>
  <si>
    <t>000866</t>
  </si>
  <si>
    <t xml:space="preserve">Ашуров Абдулло Хуршеджонович                      </t>
  </si>
  <si>
    <t>000869</t>
  </si>
  <si>
    <t xml:space="preserve">Галин Марсель Камилевич                           </t>
  </si>
  <si>
    <t>000872</t>
  </si>
  <si>
    <t xml:space="preserve">Джаафар Карлос Бассамович                         </t>
  </si>
  <si>
    <t>5б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</si>
</sst>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2</xdr:col>
      <xdr:colOff>51436</xdr:colOff>
      <xdr:row>537</xdr:row>
      <xdr:rowOff>127636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21" totalsRowDxfId="19" headerRowBorderDxfId="22" tableBorderDxfId="20">
  <autoFilter ref="A6:H29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E23" sqref="E23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403</v>
      </c>
      <c r="B2" s="92" t="s">
        <v>404</v>
      </c>
      <c r="C2" s="92" t="s">
        <v>405</v>
      </c>
      <c r="D2" s="92" t="s">
        <v>469</v>
      </c>
      <c r="E2" s="93">
        <v>11940</v>
      </c>
      <c r="F2" s="98" t="str">
        <f>TRIM(A2)</f>
        <v>000865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доп апрель</v>
      </c>
      <c r="I2" s="94" t="s">
        <v>396</v>
      </c>
      <c r="J2" s="31">
        <v>92701000</v>
      </c>
      <c r="M2" s="31">
        <f t="shared" ref="M2:M63" si="1">E2</f>
        <v>11940</v>
      </c>
    </row>
    <row r="3" spans="1:13" x14ac:dyDescent="0.25">
      <c r="A3" s="92" t="s">
        <v>470</v>
      </c>
      <c r="B3" s="92" t="s">
        <v>471</v>
      </c>
      <c r="C3" s="92" t="s">
        <v>405</v>
      </c>
      <c r="D3" s="92" t="s">
        <v>469</v>
      </c>
      <c r="E3" s="93">
        <v>0</v>
      </c>
      <c r="F3" s="98" t="str">
        <f t="shared" ref="F3:F66" si="2">TRIM(A3)</f>
        <v>000866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доп апрель</v>
      </c>
      <c r="I3" s="94" t="s">
        <v>396</v>
      </c>
      <c r="J3" s="31">
        <v>92701000</v>
      </c>
      <c r="M3" s="31">
        <f t="shared" si="1"/>
        <v>0</v>
      </c>
    </row>
    <row r="4" spans="1:13" x14ac:dyDescent="0.25">
      <c r="A4" s="92" t="s">
        <v>406</v>
      </c>
      <c r="B4" s="92" t="s">
        <v>407</v>
      </c>
      <c r="C4" s="92" t="s">
        <v>405</v>
      </c>
      <c r="D4" s="92" t="s">
        <v>469</v>
      </c>
      <c r="E4" s="93">
        <v>5970</v>
      </c>
      <c r="F4" s="98" t="str">
        <f t="shared" si="2"/>
        <v>000867</v>
      </c>
      <c r="G4" s="31" t="str">
        <f t="shared" si="0"/>
        <v xml:space="preserve">Бакиров Рустем Азатович                           </v>
      </c>
      <c r="H4" s="31" t="str">
        <f t="shared" si="3"/>
        <v>5б доп апрель</v>
      </c>
      <c r="I4" s="94" t="s">
        <v>396</v>
      </c>
      <c r="J4" s="31">
        <v>92701000</v>
      </c>
      <c r="M4" s="31">
        <f t="shared" si="1"/>
        <v>5970</v>
      </c>
    </row>
    <row r="5" spans="1:13" x14ac:dyDescent="0.25">
      <c r="A5" s="92" t="s">
        <v>408</v>
      </c>
      <c r="B5" s="92" t="s">
        <v>409</v>
      </c>
      <c r="C5" s="92" t="s">
        <v>405</v>
      </c>
      <c r="D5" s="92" t="s">
        <v>469</v>
      </c>
      <c r="E5" s="93">
        <v>47760</v>
      </c>
      <c r="F5" s="98" t="str">
        <f t="shared" si="2"/>
        <v>000868</v>
      </c>
      <c r="G5" s="31" t="str">
        <f t="shared" si="0"/>
        <v xml:space="preserve">Валиев Бахтияр Рустемович                         </v>
      </c>
      <c r="H5" s="31" t="str">
        <f t="shared" si="3"/>
        <v>5б доп апрель</v>
      </c>
      <c r="I5" s="94" t="s">
        <v>396</v>
      </c>
      <c r="J5" s="31">
        <v>92701000</v>
      </c>
      <c r="M5" s="31">
        <f t="shared" si="1"/>
        <v>47760</v>
      </c>
    </row>
    <row r="6" spans="1:13" x14ac:dyDescent="0.25">
      <c r="A6" s="92" t="s">
        <v>472</v>
      </c>
      <c r="B6" s="92" t="s">
        <v>473</v>
      </c>
      <c r="C6" s="92" t="s">
        <v>405</v>
      </c>
      <c r="D6" s="92" t="s">
        <v>469</v>
      </c>
      <c r="E6" s="93">
        <v>0</v>
      </c>
      <c r="F6" s="98" t="str">
        <f t="shared" si="2"/>
        <v>000869</v>
      </c>
      <c r="G6" s="31" t="str">
        <f t="shared" si="0"/>
        <v xml:space="preserve">Галин Марсель Камилевич                           </v>
      </c>
      <c r="H6" s="31" t="str">
        <f t="shared" si="3"/>
        <v>5б доп апрель</v>
      </c>
      <c r="I6" s="94" t="s">
        <v>396</v>
      </c>
      <c r="J6" s="31">
        <v>92701000</v>
      </c>
      <c r="M6" s="31">
        <f t="shared" si="1"/>
        <v>0</v>
      </c>
    </row>
    <row r="7" spans="1:13" x14ac:dyDescent="0.25">
      <c r="A7" s="92" t="s">
        <v>410</v>
      </c>
      <c r="B7" s="92" t="s">
        <v>411</v>
      </c>
      <c r="C7" s="92" t="s">
        <v>405</v>
      </c>
      <c r="D7" s="92" t="s">
        <v>469</v>
      </c>
      <c r="E7" s="93">
        <v>11940</v>
      </c>
      <c r="F7" s="98" t="str">
        <f t="shared" si="2"/>
        <v>000887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доп апрель</v>
      </c>
      <c r="I7" s="94" t="s">
        <v>396</v>
      </c>
      <c r="J7" s="31">
        <v>92701000</v>
      </c>
      <c r="M7" s="31">
        <f t="shared" si="1"/>
        <v>11940</v>
      </c>
    </row>
    <row r="8" spans="1:13" x14ac:dyDescent="0.25">
      <c r="A8" s="92" t="s">
        <v>412</v>
      </c>
      <c r="B8" s="92" t="s">
        <v>413</v>
      </c>
      <c r="C8" s="92" t="s">
        <v>405</v>
      </c>
      <c r="D8" s="92" t="s">
        <v>469</v>
      </c>
      <c r="E8" s="93">
        <v>5970</v>
      </c>
      <c r="F8" s="98" t="str">
        <f t="shared" si="2"/>
        <v>000870</v>
      </c>
      <c r="G8" s="31" t="str">
        <f t="shared" si="0"/>
        <v xml:space="preserve">Гараев Саид Ильясович                             </v>
      </c>
      <c r="H8" s="31" t="str">
        <f t="shared" si="3"/>
        <v>5б доп апрель</v>
      </c>
      <c r="I8" s="94" t="s">
        <v>396</v>
      </c>
      <c r="J8" s="31">
        <v>92701000</v>
      </c>
      <c r="M8" s="31">
        <f t="shared" si="1"/>
        <v>5970</v>
      </c>
    </row>
    <row r="9" spans="1:13" x14ac:dyDescent="0.25">
      <c r="A9" s="92" t="s">
        <v>414</v>
      </c>
      <c r="B9" s="92" t="s">
        <v>415</v>
      </c>
      <c r="C9" s="92" t="s">
        <v>405</v>
      </c>
      <c r="D9" s="92" t="s">
        <v>469</v>
      </c>
      <c r="E9" s="93">
        <v>5970</v>
      </c>
      <c r="F9" s="98" t="str">
        <f t="shared" si="2"/>
        <v>000871</v>
      </c>
      <c r="G9" s="31" t="str">
        <f t="shared" si="0"/>
        <v xml:space="preserve">Гафиятов Кемаль Ренатович                         </v>
      </c>
      <c r="H9" s="31" t="str">
        <f t="shared" si="3"/>
        <v>5б доп апрель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474</v>
      </c>
      <c r="B10" s="92" t="s">
        <v>475</v>
      </c>
      <c r="C10" s="92" t="s">
        <v>405</v>
      </c>
      <c r="D10" s="92" t="s">
        <v>469</v>
      </c>
      <c r="E10" s="93">
        <v>0</v>
      </c>
      <c r="F10" s="98" t="str">
        <f t="shared" si="2"/>
        <v>000872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доп апрель</v>
      </c>
      <c r="I10" s="94" t="s">
        <v>396</v>
      </c>
      <c r="J10" s="31">
        <v>92701000</v>
      </c>
      <c r="M10" s="31">
        <f t="shared" si="1"/>
        <v>0</v>
      </c>
    </row>
    <row r="11" spans="1:13" x14ac:dyDescent="0.25">
      <c r="A11" s="92" t="s">
        <v>416</v>
      </c>
      <c r="B11" s="92" t="s">
        <v>417</v>
      </c>
      <c r="C11" s="92" t="s">
        <v>405</v>
      </c>
      <c r="D11" s="92" t="s">
        <v>469</v>
      </c>
      <c r="E11" s="93">
        <v>23880</v>
      </c>
      <c r="F11" s="98" t="str">
        <f t="shared" si="2"/>
        <v>000873</v>
      </c>
      <c r="G11" s="31" t="str">
        <f t="shared" si="0"/>
        <v xml:space="preserve">Железнов Глеб Андреевич                           </v>
      </c>
      <c r="H11" s="31" t="str">
        <f t="shared" si="3"/>
        <v>5б доп апрель</v>
      </c>
      <c r="I11" s="94" t="s">
        <v>396</v>
      </c>
      <c r="J11" s="31">
        <v>92701000</v>
      </c>
      <c r="M11" s="31">
        <f t="shared" si="1"/>
        <v>23880</v>
      </c>
    </row>
    <row r="12" spans="1:13" x14ac:dyDescent="0.25">
      <c r="A12" s="92" t="s">
        <v>418</v>
      </c>
      <c r="B12" s="92" t="s">
        <v>419</v>
      </c>
      <c r="C12" s="92" t="s">
        <v>405</v>
      </c>
      <c r="D12" s="92" t="s">
        <v>469</v>
      </c>
      <c r="E12" s="93">
        <v>5970</v>
      </c>
      <c r="F12" s="98" t="str">
        <f t="shared" si="2"/>
        <v>000874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доп апрель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420</v>
      </c>
      <c r="B13" s="92" t="s">
        <v>421</v>
      </c>
      <c r="C13" s="92" t="s">
        <v>405</v>
      </c>
      <c r="D13" s="92" t="s">
        <v>469</v>
      </c>
      <c r="E13" s="93">
        <v>11940</v>
      </c>
      <c r="F13" s="98" t="str">
        <f t="shared" si="2"/>
        <v>000875</v>
      </c>
      <c r="G13" s="31" t="str">
        <f t="shared" si="0"/>
        <v xml:space="preserve">Махмутов Ахмад Ильясович                          </v>
      </c>
      <c r="H13" s="31" t="str">
        <f t="shared" si="3"/>
        <v>5б доп апрель</v>
      </c>
      <c r="I13" s="94" t="s">
        <v>396</v>
      </c>
      <c r="J13" s="31">
        <v>92701000</v>
      </c>
      <c r="M13" s="31">
        <f t="shared" si="1"/>
        <v>11940</v>
      </c>
    </row>
    <row r="14" spans="1:13" x14ac:dyDescent="0.25">
      <c r="A14" s="92" t="s">
        <v>422</v>
      </c>
      <c r="B14" s="92" t="s">
        <v>423</v>
      </c>
      <c r="C14" s="92" t="s">
        <v>405</v>
      </c>
      <c r="D14" s="92" t="s">
        <v>469</v>
      </c>
      <c r="E14" s="93">
        <v>11940</v>
      </c>
      <c r="F14" s="98" t="str">
        <f t="shared" si="2"/>
        <v>000876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доп апрель</v>
      </c>
      <c r="I14" s="94" t="s">
        <v>396</v>
      </c>
      <c r="J14" s="31">
        <v>92701000</v>
      </c>
      <c r="M14" s="31">
        <f t="shared" si="1"/>
        <v>11940</v>
      </c>
    </row>
    <row r="15" spans="1:13" x14ac:dyDescent="0.25">
      <c r="A15" s="92" t="s">
        <v>424</v>
      </c>
      <c r="B15" s="92" t="s">
        <v>425</v>
      </c>
      <c r="C15" s="92" t="s">
        <v>405</v>
      </c>
      <c r="D15" s="92" t="s">
        <v>469</v>
      </c>
      <c r="E15" s="93">
        <v>5970</v>
      </c>
      <c r="F15" s="98" t="str">
        <f t="shared" si="2"/>
        <v>000877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доп апрель</v>
      </c>
      <c r="I15" s="94" t="s">
        <v>396</v>
      </c>
      <c r="J15" s="31">
        <v>92701000</v>
      </c>
      <c r="M15" s="31">
        <f t="shared" si="1"/>
        <v>5970</v>
      </c>
    </row>
    <row r="16" spans="1:13" x14ac:dyDescent="0.25">
      <c r="A16" s="92" t="s">
        <v>426</v>
      </c>
      <c r="B16" s="92" t="s">
        <v>427</v>
      </c>
      <c r="C16" s="92" t="s">
        <v>405</v>
      </c>
      <c r="D16" s="92" t="s">
        <v>469</v>
      </c>
      <c r="E16" s="93">
        <v>5970</v>
      </c>
      <c r="F16" s="98" t="str">
        <f t="shared" si="2"/>
        <v>000878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доп апрель</v>
      </c>
      <c r="I16" s="94" t="s">
        <v>396</v>
      </c>
      <c r="J16" s="31">
        <v>92701000</v>
      </c>
      <c r="M16" s="31">
        <f t="shared" si="1"/>
        <v>5970</v>
      </c>
    </row>
    <row r="17" spans="1:13" x14ac:dyDescent="0.25">
      <c r="A17" s="92" t="s">
        <v>428</v>
      </c>
      <c r="B17" s="92" t="s">
        <v>429</v>
      </c>
      <c r="C17" s="92" t="s">
        <v>405</v>
      </c>
      <c r="D17" s="92" t="s">
        <v>469</v>
      </c>
      <c r="E17" s="93">
        <v>11940</v>
      </c>
      <c r="F17" s="98" t="str">
        <f t="shared" si="2"/>
        <v>000879</v>
      </c>
      <c r="G17" s="31" t="str">
        <f t="shared" si="0"/>
        <v xml:space="preserve">Садыйков Эмир Дамирович                           </v>
      </c>
      <c r="H17" s="31" t="str">
        <f t="shared" si="3"/>
        <v>5б доп апрель</v>
      </c>
      <c r="I17" s="94" t="s">
        <v>396</v>
      </c>
      <c r="J17" s="31">
        <v>92701000</v>
      </c>
      <c r="M17" s="31">
        <f t="shared" si="1"/>
        <v>11940</v>
      </c>
    </row>
    <row r="18" spans="1:13" x14ac:dyDescent="0.25">
      <c r="A18" s="92" t="s">
        <v>430</v>
      </c>
      <c r="B18" s="92" t="s">
        <v>431</v>
      </c>
      <c r="C18" s="92" t="s">
        <v>405</v>
      </c>
      <c r="D18" s="92" t="s">
        <v>469</v>
      </c>
      <c r="E18" s="93">
        <v>11940</v>
      </c>
      <c r="F18" s="98" t="str">
        <f t="shared" si="2"/>
        <v>000880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доп апрель</v>
      </c>
      <c r="I18" s="94" t="s">
        <v>396</v>
      </c>
      <c r="J18" s="31">
        <v>92701000</v>
      </c>
      <c r="M18" s="31">
        <f t="shared" si="1"/>
        <v>11940</v>
      </c>
    </row>
    <row r="19" spans="1:13" x14ac:dyDescent="0.25">
      <c r="A19" s="92" t="s">
        <v>467</v>
      </c>
      <c r="B19" s="92" t="s">
        <v>468</v>
      </c>
      <c r="C19" s="92" t="s">
        <v>405</v>
      </c>
      <c r="D19" s="92" t="s">
        <v>469</v>
      </c>
      <c r="E19" s="93">
        <v>5970</v>
      </c>
      <c r="F19" s="98" t="str">
        <f t="shared" si="2"/>
        <v>000881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доп апрель</v>
      </c>
      <c r="I19" s="94" t="s">
        <v>396</v>
      </c>
      <c r="J19" s="31">
        <v>92701000</v>
      </c>
      <c r="M19" s="31">
        <f t="shared" si="1"/>
        <v>5970</v>
      </c>
    </row>
    <row r="20" spans="1:13" x14ac:dyDescent="0.25">
      <c r="A20" s="92" t="s">
        <v>432</v>
      </c>
      <c r="B20" s="92" t="s">
        <v>433</v>
      </c>
      <c r="C20" s="92" t="s">
        <v>405</v>
      </c>
      <c r="D20" s="92" t="s">
        <v>469</v>
      </c>
      <c r="E20" s="93">
        <v>5970</v>
      </c>
      <c r="F20" s="98" t="str">
        <f t="shared" si="2"/>
        <v>000882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доп апрель</v>
      </c>
      <c r="I20" s="94" t="s">
        <v>396</v>
      </c>
      <c r="J20" s="31">
        <v>92701000</v>
      </c>
      <c r="M20" s="31">
        <f t="shared" si="1"/>
        <v>5970</v>
      </c>
    </row>
    <row r="21" spans="1:13" x14ac:dyDescent="0.25">
      <c r="A21" s="92" t="s">
        <v>434</v>
      </c>
      <c r="B21" s="92" t="s">
        <v>435</v>
      </c>
      <c r="C21" s="92" t="s">
        <v>405</v>
      </c>
      <c r="D21" s="92" t="s">
        <v>469</v>
      </c>
      <c r="E21" s="93">
        <v>9840</v>
      </c>
      <c r="F21" s="98" t="str">
        <f t="shared" si="2"/>
        <v>000883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доп апрель</v>
      </c>
      <c r="I21" s="94" t="s">
        <v>396</v>
      </c>
      <c r="J21" s="31">
        <v>92701000</v>
      </c>
      <c r="M21" s="31">
        <f t="shared" si="1"/>
        <v>9840</v>
      </c>
    </row>
    <row r="22" spans="1:13" x14ac:dyDescent="0.25">
      <c r="A22" s="92" t="s">
        <v>436</v>
      </c>
      <c r="B22" s="92" t="s">
        <v>437</v>
      </c>
      <c r="C22" s="92" t="s">
        <v>405</v>
      </c>
      <c r="D22" s="92" t="s">
        <v>469</v>
      </c>
      <c r="E22" s="93">
        <v>23880</v>
      </c>
      <c r="F22" s="98" t="str">
        <f t="shared" si="2"/>
        <v>000884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доп апрель</v>
      </c>
      <c r="I22" s="94" t="s">
        <v>396</v>
      </c>
      <c r="J22" s="31">
        <v>92701000</v>
      </c>
      <c r="M22" s="31">
        <f t="shared" si="1"/>
        <v>23880</v>
      </c>
    </row>
    <row r="23" spans="1:13" x14ac:dyDescent="0.25">
      <c r="A23" s="92" t="s">
        <v>438</v>
      </c>
      <c r="B23" s="92" t="s">
        <v>439</v>
      </c>
      <c r="C23" s="92" t="s">
        <v>405</v>
      </c>
      <c r="D23" s="92" t="s">
        <v>469</v>
      </c>
      <c r="E23" s="93">
        <v>5970</v>
      </c>
      <c r="F23" s="98" t="str">
        <f t="shared" si="2"/>
        <v>000885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доп апрель</v>
      </c>
      <c r="I23" s="94" t="s">
        <v>396</v>
      </c>
      <c r="J23" s="31">
        <v>92701000</v>
      </c>
      <c r="M23" s="31">
        <f t="shared" si="1"/>
        <v>5970</v>
      </c>
    </row>
    <row r="24" spans="1:13" x14ac:dyDescent="0.25">
      <c r="A24" s="92" t="s">
        <v>440</v>
      </c>
      <c r="B24" s="92" t="s">
        <v>441</v>
      </c>
      <c r="C24" s="92" t="s">
        <v>405</v>
      </c>
      <c r="D24" s="92" t="s">
        <v>469</v>
      </c>
      <c r="E24" s="93">
        <v>5970</v>
      </c>
      <c r="F24" s="98" t="str">
        <f t="shared" si="2"/>
        <v>000886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доп апрель</v>
      </c>
      <c r="I24" s="94" t="s">
        <v>396</v>
      </c>
      <c r="J24" s="31">
        <v>92701000</v>
      </c>
      <c r="M24" s="31">
        <f t="shared" si="1"/>
        <v>5970</v>
      </c>
    </row>
    <row r="25" spans="1:13" x14ac:dyDescent="0.25">
      <c r="A25" s="92" t="s">
        <v>399</v>
      </c>
      <c r="B25" s="92" t="s">
        <v>400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401</v>
      </c>
      <c r="B26" s="92" t="s">
        <v>402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H26" sqref="H26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1657032924_03234643927010001100__18.04.2023.TXT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236700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403</v>
      </c>
      <c r="B7" s="84" t="s">
        <v>404</v>
      </c>
      <c r="C7" s="84" t="s">
        <v>476</v>
      </c>
      <c r="D7" s="84" t="s">
        <v>396</v>
      </c>
      <c r="E7" s="87">
        <v>92701000</v>
      </c>
      <c r="F7" s="84"/>
      <c r="G7" s="84"/>
      <c r="H7" s="86">
        <v>11940</v>
      </c>
    </row>
    <row r="8" spans="1:8" x14ac:dyDescent="0.25">
      <c r="A8" s="95" t="s">
        <v>470</v>
      </c>
      <c r="B8" s="95" t="s">
        <v>471</v>
      </c>
      <c r="C8" s="95" t="s">
        <v>476</v>
      </c>
      <c r="D8" s="95" t="s">
        <v>396</v>
      </c>
      <c r="E8" s="95">
        <v>92701000</v>
      </c>
      <c r="F8" s="95"/>
      <c r="G8" s="95"/>
      <c r="H8" s="96">
        <v>0</v>
      </c>
    </row>
    <row r="9" spans="1:8" x14ac:dyDescent="0.25">
      <c r="A9" s="95" t="s">
        <v>406</v>
      </c>
      <c r="B9" s="95" t="s">
        <v>407</v>
      </c>
      <c r="C9" s="95" t="s">
        <v>476</v>
      </c>
      <c r="D9" s="95" t="s">
        <v>396</v>
      </c>
      <c r="E9" s="95">
        <v>92701000</v>
      </c>
      <c r="F9" s="95"/>
      <c r="G9" s="95"/>
      <c r="H9" s="96">
        <v>5970</v>
      </c>
    </row>
    <row r="10" spans="1:8" x14ac:dyDescent="0.25">
      <c r="A10" s="95" t="s">
        <v>408</v>
      </c>
      <c r="B10" s="95" t="s">
        <v>409</v>
      </c>
      <c r="C10" s="95" t="s">
        <v>476</v>
      </c>
      <c r="D10" s="95" t="s">
        <v>396</v>
      </c>
      <c r="E10" s="95">
        <v>92701000</v>
      </c>
      <c r="F10" s="95"/>
      <c r="G10" s="95"/>
      <c r="H10" s="96">
        <v>47760</v>
      </c>
    </row>
    <row r="11" spans="1:8" x14ac:dyDescent="0.25">
      <c r="A11" s="95" t="s">
        <v>472</v>
      </c>
      <c r="B11" s="95" t="s">
        <v>473</v>
      </c>
      <c r="C11" s="95" t="s">
        <v>476</v>
      </c>
      <c r="D11" s="95" t="s">
        <v>396</v>
      </c>
      <c r="E11" s="95">
        <v>92701000</v>
      </c>
      <c r="F11" s="95"/>
      <c r="G11" s="95"/>
      <c r="H11" s="96">
        <v>0</v>
      </c>
    </row>
    <row r="12" spans="1:8" x14ac:dyDescent="0.25">
      <c r="A12" s="95" t="s">
        <v>410</v>
      </c>
      <c r="B12" s="95" t="s">
        <v>411</v>
      </c>
      <c r="C12" s="95" t="s">
        <v>476</v>
      </c>
      <c r="D12" s="95" t="s">
        <v>396</v>
      </c>
      <c r="E12" s="95">
        <v>92701000</v>
      </c>
      <c r="F12" s="95"/>
      <c r="G12" s="95"/>
      <c r="H12" s="96">
        <v>11940</v>
      </c>
    </row>
    <row r="13" spans="1:8" x14ac:dyDescent="0.25">
      <c r="A13" s="95" t="s">
        <v>412</v>
      </c>
      <c r="B13" s="95" t="s">
        <v>413</v>
      </c>
      <c r="C13" s="95" t="s">
        <v>476</v>
      </c>
      <c r="D13" s="95" t="s">
        <v>396</v>
      </c>
      <c r="E13" s="95">
        <v>92701000</v>
      </c>
      <c r="F13" s="95"/>
      <c r="G13" s="95"/>
      <c r="H13" s="96">
        <v>5970</v>
      </c>
    </row>
    <row r="14" spans="1:8" x14ac:dyDescent="0.25">
      <c r="A14" s="95" t="s">
        <v>414</v>
      </c>
      <c r="B14" s="95" t="s">
        <v>415</v>
      </c>
      <c r="C14" s="95" t="s">
        <v>476</v>
      </c>
      <c r="D14" s="95" t="s">
        <v>396</v>
      </c>
      <c r="E14" s="95">
        <v>92701000</v>
      </c>
      <c r="F14" s="95"/>
      <c r="G14" s="95"/>
      <c r="H14" s="96">
        <v>5970</v>
      </c>
    </row>
    <row r="15" spans="1:8" x14ac:dyDescent="0.25">
      <c r="A15" s="95" t="s">
        <v>474</v>
      </c>
      <c r="B15" s="95" t="s">
        <v>475</v>
      </c>
      <c r="C15" s="95" t="s">
        <v>476</v>
      </c>
      <c r="D15" s="95" t="s">
        <v>396</v>
      </c>
      <c r="E15" s="95">
        <v>92701000</v>
      </c>
      <c r="F15" s="95"/>
      <c r="G15" s="95"/>
      <c r="H15" s="96">
        <v>0</v>
      </c>
    </row>
    <row r="16" spans="1:8" x14ac:dyDescent="0.25">
      <c r="A16" s="95" t="s">
        <v>416</v>
      </c>
      <c r="B16" s="95" t="s">
        <v>417</v>
      </c>
      <c r="C16" s="95" t="s">
        <v>476</v>
      </c>
      <c r="D16" s="95" t="s">
        <v>396</v>
      </c>
      <c r="E16" s="95">
        <v>92701000</v>
      </c>
      <c r="F16" s="95"/>
      <c r="G16" s="95"/>
      <c r="H16" s="96">
        <v>23880</v>
      </c>
    </row>
    <row r="17" spans="1:8" x14ac:dyDescent="0.25">
      <c r="A17" s="95" t="s">
        <v>418</v>
      </c>
      <c r="B17" s="95" t="s">
        <v>419</v>
      </c>
      <c r="C17" s="95" t="s">
        <v>476</v>
      </c>
      <c r="D17" s="95" t="s">
        <v>396</v>
      </c>
      <c r="E17" s="95">
        <v>92701000</v>
      </c>
      <c r="F17" s="95"/>
      <c r="G17" s="95"/>
      <c r="H17" s="96">
        <v>5970</v>
      </c>
    </row>
    <row r="18" spans="1:8" x14ac:dyDescent="0.25">
      <c r="A18" s="95" t="s">
        <v>420</v>
      </c>
      <c r="B18" s="95" t="s">
        <v>421</v>
      </c>
      <c r="C18" s="95" t="s">
        <v>476</v>
      </c>
      <c r="D18" s="95" t="s">
        <v>396</v>
      </c>
      <c r="E18" s="95">
        <v>92701000</v>
      </c>
      <c r="F18" s="95"/>
      <c r="G18" s="95"/>
      <c r="H18" s="96">
        <v>11940</v>
      </c>
    </row>
    <row r="19" spans="1:8" x14ac:dyDescent="0.25">
      <c r="A19" s="95" t="s">
        <v>422</v>
      </c>
      <c r="B19" s="95" t="s">
        <v>423</v>
      </c>
      <c r="C19" s="95" t="s">
        <v>476</v>
      </c>
      <c r="D19" s="95" t="s">
        <v>396</v>
      </c>
      <c r="E19" s="95">
        <v>92701000</v>
      </c>
      <c r="F19" s="95"/>
      <c r="G19" s="95"/>
      <c r="H19" s="96">
        <v>11940</v>
      </c>
    </row>
    <row r="20" spans="1:8" x14ac:dyDescent="0.25">
      <c r="A20" s="95" t="s">
        <v>424</v>
      </c>
      <c r="B20" s="95" t="s">
        <v>425</v>
      </c>
      <c r="C20" s="95" t="s">
        <v>476</v>
      </c>
      <c r="D20" s="95" t="s">
        <v>396</v>
      </c>
      <c r="E20" s="95">
        <v>92701000</v>
      </c>
      <c r="F20" s="95"/>
      <c r="G20" s="95"/>
      <c r="H20" s="96">
        <v>5970</v>
      </c>
    </row>
    <row r="21" spans="1:8" x14ac:dyDescent="0.25">
      <c r="A21" s="95" t="s">
        <v>426</v>
      </c>
      <c r="B21" s="95" t="s">
        <v>427</v>
      </c>
      <c r="C21" s="95" t="s">
        <v>476</v>
      </c>
      <c r="D21" s="95" t="s">
        <v>396</v>
      </c>
      <c r="E21" s="95">
        <v>92701000</v>
      </c>
      <c r="F21" s="95"/>
      <c r="G21" s="95"/>
      <c r="H21" s="96">
        <v>5970</v>
      </c>
    </row>
    <row r="22" spans="1:8" x14ac:dyDescent="0.25">
      <c r="A22" s="95" t="s">
        <v>428</v>
      </c>
      <c r="B22" s="95" t="s">
        <v>429</v>
      </c>
      <c r="C22" s="95" t="s">
        <v>476</v>
      </c>
      <c r="D22" s="95" t="s">
        <v>396</v>
      </c>
      <c r="E22" s="95">
        <v>92701000</v>
      </c>
      <c r="F22" s="95"/>
      <c r="G22" s="95"/>
      <c r="H22" s="96">
        <v>11940</v>
      </c>
    </row>
    <row r="23" spans="1:8" x14ac:dyDescent="0.25">
      <c r="A23" s="95" t="s">
        <v>430</v>
      </c>
      <c r="B23" s="95" t="s">
        <v>431</v>
      </c>
      <c r="C23" s="95" t="s">
        <v>476</v>
      </c>
      <c r="D23" s="95" t="s">
        <v>396</v>
      </c>
      <c r="E23" s="95">
        <v>92701000</v>
      </c>
      <c r="F23" s="95"/>
      <c r="G23" s="95"/>
      <c r="H23" s="96">
        <v>11940</v>
      </c>
    </row>
    <row r="24" spans="1:8" x14ac:dyDescent="0.25">
      <c r="A24" s="95" t="s">
        <v>467</v>
      </c>
      <c r="B24" s="95" t="s">
        <v>468</v>
      </c>
      <c r="C24" s="95" t="s">
        <v>476</v>
      </c>
      <c r="D24" s="95" t="s">
        <v>396</v>
      </c>
      <c r="E24" s="95">
        <v>92701000</v>
      </c>
      <c r="F24" s="95"/>
      <c r="G24" s="95"/>
      <c r="H24" s="96">
        <v>5970</v>
      </c>
    </row>
    <row r="25" spans="1:8" x14ac:dyDescent="0.25">
      <c r="A25" s="95" t="s">
        <v>432</v>
      </c>
      <c r="B25" s="95" t="s">
        <v>433</v>
      </c>
      <c r="C25" s="95" t="s">
        <v>476</v>
      </c>
      <c r="D25" s="95" t="s">
        <v>396</v>
      </c>
      <c r="E25" s="95">
        <v>92701000</v>
      </c>
      <c r="F25" s="95"/>
      <c r="G25" s="95"/>
      <c r="H25" s="96">
        <v>5970</v>
      </c>
    </row>
    <row r="26" spans="1:8" x14ac:dyDescent="0.25">
      <c r="A26" s="95" t="s">
        <v>434</v>
      </c>
      <c r="B26" s="95" t="s">
        <v>435</v>
      </c>
      <c r="C26" s="95" t="s">
        <v>476</v>
      </c>
      <c r="D26" s="95" t="s">
        <v>396</v>
      </c>
      <c r="E26" s="95">
        <v>92701000</v>
      </c>
      <c r="F26" s="95"/>
      <c r="G26" s="95"/>
      <c r="H26" s="96">
        <v>9840</v>
      </c>
    </row>
    <row r="27" spans="1:8" x14ac:dyDescent="0.25">
      <c r="A27" s="95" t="s">
        <v>436</v>
      </c>
      <c r="B27" s="95" t="s">
        <v>437</v>
      </c>
      <c r="C27" s="95" t="s">
        <v>476</v>
      </c>
      <c r="D27" s="95" t="s">
        <v>396</v>
      </c>
      <c r="E27" s="95">
        <v>92701000</v>
      </c>
      <c r="F27" s="95"/>
      <c r="G27" s="95"/>
      <c r="H27" s="96">
        <v>23880</v>
      </c>
    </row>
    <row r="28" spans="1:8" x14ac:dyDescent="0.25">
      <c r="A28" s="95" t="s">
        <v>438</v>
      </c>
      <c r="B28" s="95" t="s">
        <v>439</v>
      </c>
      <c r="C28" s="95" t="s">
        <v>476</v>
      </c>
      <c r="D28" s="95" t="s">
        <v>396</v>
      </c>
      <c r="E28" s="95">
        <v>92701000</v>
      </c>
      <c r="F28" s="95"/>
      <c r="G28" s="95"/>
      <c r="H28" s="96">
        <v>5970</v>
      </c>
    </row>
    <row r="29" spans="1:8" x14ac:dyDescent="0.25">
      <c r="A29" s="95" t="s">
        <v>440</v>
      </c>
      <c r="B29" s="95" t="s">
        <v>441</v>
      </c>
      <c r="C29" s="95" t="s">
        <v>476</v>
      </c>
      <c r="D29" s="95" t="s">
        <v>396</v>
      </c>
      <c r="E29" s="95">
        <v>92701000</v>
      </c>
      <c r="F29" s="95"/>
      <c r="G29" s="95"/>
      <c r="H29" s="96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40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457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457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458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458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459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459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460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460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461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461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444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444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</sheetData>
  <mergeCells count="20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0" orientation="portrait" r:id="rId1"/>
  <rowBreaks count="20" manualBreakCount="20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2023-02-21T14:03:30Z</cp:lastPrinted>
  <dcterms:created xsi:type="dcterms:W3CDTF">2012-02-27T08:19:11Z</dcterms:created>
  <dcterms:modified xsi:type="dcterms:W3CDTF">2023-04-18T13:14:59Z</dcterms:modified>
</cp:coreProperties>
</file>