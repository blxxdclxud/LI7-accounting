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<sst xmlns="http://schemas.openxmlformats.org/spreadsheetml/2006/main" count="2487" uniqueCount="487">
  <si>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</si>
  <si>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</si>
  <si>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</si>
  <si>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</si>
  <si>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</si>
  <si>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</si>
  <si>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</si>
  <si>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</si>
  <si>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</si>
  <si>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</si>
  <si>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</si>
  <si>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</si>
  <si>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</si>
  <si>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</si>
  <si>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</si>
  <si>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</si>
  <si>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</si>
  <si>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</si>
  <si>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</si>
  <si>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</si>
  <si>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</si>
  <si>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</si>
  <si>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</si>
  <si>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</si>
  <si>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</si>
  <si>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</si>
  <si>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</si>
  <si>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</si>
  <si>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</si>
  <si>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</si>
  <si>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</si>
  <si>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</si>
  <si>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</si>
  <si>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</si>
  <si>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</si>
  <si>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</si>
  <si>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</si>
  <si>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</si>
  <si>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</si>
  <si>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</si>
  <si>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</si>
  <si>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</si>
  <si>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</si>
  <si>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</si>
  <si>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</si>
  <si>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</si>
  <si>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</si>
  <si>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</si>
  <si>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</si>
  <si>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</si>
  <si>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</si>
  <si>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</si>
  <si>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</si>
  <si>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</si>
  <si>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</si>
  <si>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</si>
  <si>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</si>
  <si>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</si>
  <si>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</si>
  <si>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</si>
  <si>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</si>
  <si>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</si>
  <si>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</si>
  <si>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</si>
  <si>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</si>
  <si>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</si>
  <si>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</si>
  <si>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</si>
  <si>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</si>
  <si>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</si>
  <si>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</si>
  <si>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</si>
  <si>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</si>
  <si>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</si>
  <si>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</si>
  <si>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</si>
  <si>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</si>
  <si>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</si>
  <si>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</si>
  <si>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</si>
  <si>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</si>
  <si>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</si>
  <si>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</si>
  <si>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</si>
  <si>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</si>
  <si>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</si>
  <si>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</si>
  <si>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</si>
  <si>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</si>
  <si>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</si>
  <si>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</si>
  <si>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</si>
  <si>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</si>
  <si>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</si>
  <si>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</si>
  <si>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</si>
  <si>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</si>
  <si>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</si>
  <si>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</si>
  <si>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</si>
  <si>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</si>
  <si>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</si>
  <si>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</si>
  <si>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</si>
  <si>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</si>
  <si>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</si>
  <si>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</si>
  <si>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</si>
  <si>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</si>
  <si>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</si>
  <si>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</si>
  <si>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</si>
  <si>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</si>
  <si>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</si>
  <si>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</si>
  <si>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</si>
  <si>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</si>
  <si>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</si>
  <si>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</si>
  <si>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</si>
  <si>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</si>
  <si>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</si>
  <si>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</si>
  <si>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</si>
  <si>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</si>
  <si>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</si>
  <si>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</si>
  <si>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</si>
  <si>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</si>
  <si>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</si>
  <si>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</si>
  <si>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</si>
  <si>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</si>
  <si>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</si>
  <si>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</si>
  <si>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</si>
  <si>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</si>
  <si>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</si>
  <si>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</si>
  <si>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</si>
  <si>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</si>
  <si>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</si>
  <si>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</si>
  <si>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</si>
  <si>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</si>
  <si>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</si>
  <si>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</si>
  <si>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</si>
  <si>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</si>
  <si>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</si>
  <si>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</si>
  <si>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</si>
  <si>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</si>
  <si>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</si>
  <si>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</si>
  <si>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</si>
  <si>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</si>
  <si>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</si>
  <si>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</si>
  <si>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</si>
  <si>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</si>
  <si>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</si>
  <si>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</si>
  <si>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</si>
  <si>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</si>
  <si>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</si>
  <si>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</si>
  <si>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</si>
  <si>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</si>
  <si>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</si>
  <si>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</si>
  <si>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</si>
  <si>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</si>
  <si>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</si>
  <si>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</si>
  <si>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</si>
  <si>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</si>
  <si>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</si>
  <si>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</si>
  <si>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</si>
  <si>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</si>
  <si>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</si>
  <si>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</si>
  <si>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</si>
  <si>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</si>
  <si>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</si>
  <si>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</si>
  <si>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</si>
  <si>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</si>
  <si>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</si>
  <si>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</si>
  <si>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</si>
  <si>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</si>
  <si>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</si>
  <si>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</si>
  <si>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</si>
  <si>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</si>
  <si>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</si>
  <si>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</si>
  <si>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</si>
  <si>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</si>
  <si>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</si>
  <si>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</si>
  <si>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</si>
  <si>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</si>
  <si>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</si>
  <si>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</si>
  <si>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</si>
  <si>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</si>
  <si>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</si>
  <si>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</si>
  <si>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</si>
  <si>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</si>
  <si>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</si>
  <si>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</si>
  <si>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</si>
  <si>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</si>
  <si>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</si>
  <si>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</si>
  <si>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</si>
  <si>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</si>
  <si>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</si>
  <si>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</si>
  <si>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</si>
  <si>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</si>
  <si>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</si>
  <si>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</si>
  <si>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</si>
  <si>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</si>
  <si>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</si>
  <si>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</si>
  <si>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</si>
  <si>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</si>
  <si>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</si>
  <si>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</si>
  <si>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</si>
  <si>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</si>
  <si>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</si>
  <si>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</si>
  <si>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</si>
  <si>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</si>
  <si>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</si>
  <si>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</si>
  <si>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</si>
  <si>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</si>
  <si>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</si>
  <si>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</si>
  <si>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</si>
  <si>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</si>
  <si>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</si>
  <si>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</si>
  <si>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</si>
  <si>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</si>
  <si>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</si>
  <si>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</si>
  <si>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</si>
  <si>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</si>
  <si>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</si>
  <si>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</si>
  <si>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</si>
  <si>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</si>
  <si>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</si>
  <si>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</si>
  <si>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</si>
  <si>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</si>
  <si>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</si>
  <si>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</si>
  <si>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</si>
  <si>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</si>
  <si>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</si>
  <si>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</si>
  <si>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</si>
  <si>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</si>
  <si>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</si>
  <si>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</si>
  <si>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</si>
  <si>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</si>
  <si>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</si>
  <si>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</si>
  <si>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</si>
  <si>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</si>
  <si>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</si>
  <si>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</si>
  <si>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</si>
  <si>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</si>
  <si>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</si>
  <si>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</si>
  <si>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</si>
  <si>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</si>
  <si>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</si>
  <si>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</si>
  <si>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</si>
  <si>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</si>
  <si>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</si>
  <si>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</si>
  <si>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</si>
  <si>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</si>
  <si>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</si>
  <si>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</si>
  <si>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</si>
  <si>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</si>
  <si>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</si>
  <si>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</si>
  <si>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</si>
  <si>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</si>
  <si>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</si>
  <si>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</si>
  <si>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</si>
  <si>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</si>
  <si>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</si>
  <si>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</si>
  <si>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</si>
  <si>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</si>
  <si>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</si>
  <si>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</si>
  <si>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</si>
  <si>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</si>
  <si>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</si>
  <si>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</si>
  <si>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</si>
  <si>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</si>
  <si>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</si>
  <si>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</si>
  <si>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</si>
  <si>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</si>
  <si>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</si>
  <si>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</si>
  <si>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</si>
  <si>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</si>
  <si>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</si>
  <si>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</si>
  <si>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</si>
  <si>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</si>
  <si>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</si>
  <si>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</si>
  <si>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</si>
  <si>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</si>
  <si>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</si>
  <si>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</si>
  <si>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</si>
  <si>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</si>
  <si>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</si>
  <si>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</si>
  <si>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</si>
  <si>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</si>
  <si>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</si>
  <si>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</si>
  <si>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</si>
  <si>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</si>
  <si>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</si>
  <si>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</si>
  <si>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</si>
  <si>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</si>
  <si>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</si>
  <si>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</si>
  <si>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</si>
  <si>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</si>
  <si>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</si>
  <si>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</si>
  <si>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</si>
  <si>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</si>
  <si>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</si>
  <si>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</si>
  <si>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</si>
  <si>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</si>
  <si>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</si>
  <si>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</si>
  <si>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</si>
  <si>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</si>
  <si>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</si>
  <si>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</si>
  <si>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</si>
  <si>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</si>
  <si>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</si>
  <si>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</si>
  <si>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</si>
  <si>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</si>
  <si>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</si>
  <si>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</si>
  <si>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</si>
  <si>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</si>
  <si>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</si>
  <si>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</si>
  <si>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</si>
  <si>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</si>
  <si>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</si>
  <si>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</si>
  <si>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</si>
  <si>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</si>
  <si>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</si>
  <si>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</si>
  <si>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</si>
  <si>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</si>
  <si>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</si>
  <si>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</si>
  <si>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</si>
  <si>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</si>
  <si>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</si>
  <si>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</si>
  <si>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CATEGORY=5</t>
  </si>
  <si>
    <t>000602</t>
  </si>
  <si>
    <t xml:space="preserve">Васянин Павел Алексеевич                          </t>
  </si>
  <si>
    <t xml:space="preserve">6а род              </t>
  </si>
  <si>
    <t>000603</t>
  </si>
  <si>
    <t xml:space="preserve">Габдукаев Булат Искандерович                      </t>
  </si>
  <si>
    <t>000604</t>
  </si>
  <si>
    <t xml:space="preserve">Галеев Артур Ринатович                            </t>
  </si>
  <si>
    <t>000605</t>
  </si>
  <si>
    <t xml:space="preserve">Галеев Карим Камилевич                            </t>
  </si>
  <si>
    <t>000607</t>
  </si>
  <si>
    <t xml:space="preserve">Галиев Самат Ришатович                            </t>
  </si>
  <si>
    <t>000608</t>
  </si>
  <si>
    <t xml:space="preserve">Гатауллин Тимур Ильнурович                        </t>
  </si>
  <si>
    <t>000609</t>
  </si>
  <si>
    <t xml:space="preserve">Идрисов Чингиз Зуфарович                          </t>
  </si>
  <si>
    <t>000610</t>
  </si>
  <si>
    <t xml:space="preserve">Камалетдинов Тимур Дамирович                      </t>
  </si>
  <si>
    <t>000611</t>
  </si>
  <si>
    <t xml:space="preserve">Кулькачев Рустам Русланович                       </t>
  </si>
  <si>
    <t>000612</t>
  </si>
  <si>
    <t xml:space="preserve">Лукманов Камиль Ильдарович                        </t>
  </si>
  <si>
    <t>000614</t>
  </si>
  <si>
    <t xml:space="preserve">Минлебаев Тимур Маратович                         </t>
  </si>
  <si>
    <t>000613</t>
  </si>
  <si>
    <t xml:space="preserve">Минневалеев Амир Рамилевич                        </t>
  </si>
  <si>
    <t>000615</t>
  </si>
  <si>
    <t xml:space="preserve">Митягин Ярослав Никитич                           </t>
  </si>
  <si>
    <t>000616</t>
  </si>
  <si>
    <t xml:space="preserve">Мустафин Артур Робертович                         </t>
  </si>
  <si>
    <t>000619</t>
  </si>
  <si>
    <t xml:space="preserve">Сайфутдинов Расул Рамилевич                       </t>
  </si>
  <si>
    <t>000620</t>
  </si>
  <si>
    <t xml:space="preserve">Фазылянов Юсуф Русланович                         </t>
  </si>
  <si>
    <t>000621</t>
  </si>
  <si>
    <t xml:space="preserve">Хадиев Аяз Камилевич                              </t>
  </si>
  <si>
    <t>000622</t>
  </si>
  <si>
    <t xml:space="preserve">Ханов Ильхан Айнурович                            </t>
  </si>
  <si>
    <t>000623</t>
  </si>
  <si>
    <t xml:space="preserve">Хусаинов Амир Ильнурович                          </t>
  </si>
  <si>
    <t>000624</t>
  </si>
  <si>
    <t xml:space="preserve">Шарафутдинов Карим Харонович                      </t>
  </si>
  <si>
    <t>000625</t>
  </si>
  <si>
    <t xml:space="preserve">Шарафутдинов Шамиль Линарович                     </t>
  </si>
  <si>
    <t>000626</t>
  </si>
  <si>
    <t xml:space="preserve">Яхин Амин Эльдарович                              </t>
  </si>
  <si>
    <t>000618</t>
  </si>
  <si>
    <t xml:space="preserve">Нуруллин Салават Раифович           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</si>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</sst>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49" fontId="33" fillId="0" borderId="0" xfId="0" applyNumberFormat="1" applyFont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0" totalsRowDxfId="17" dataCellStyle="Обычный 2"/>
    <tableColumn id="3" name="Назначение" dataDxfId="16" totalsRowDxfId="15" dataCellStyle="Обычный 2"/>
    <tableColumn id="4" name="КБК" dataDxfId="14" dataCellStyle="Обычный 2"/>
    <tableColumn id="5" name="ОКТМО" dataDxfId="13" totalsRowDxfId="12" dataCellStyle="Обычный 2"/>
    <tableColumn id="6" name="ФИО" dataDxfId="11" totalsRowDxfId="10" dataCellStyle="Обычный 2"/>
    <tableColumn id="7" name="Служeбнoе поле" dataDxfId="9" totalsRowDxfId="8" dataCellStyle="Обычный 2"/>
    <tableColumn id="8" name="Сумма" dataDxfId="7" totalsRowDxfId="6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5"/>
    <tableColumn id="2" name="Значение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3" dataDxfId="2">
  <autoFilter ref="Z1:Z4"/>
  <tableColumns count="1">
    <tableColumn id="1" name="Код кодировки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D32" sqref="D32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89" t="s">
        <v>400</v>
      </c>
      <c r="B2" s="89" t="s">
        <v>401</v>
      </c>
      <c r="C2" s="89" t="s">
        <v>402</v>
      </c>
      <c r="D2" s="89" t="s">
        <v>485</v>
      </c>
      <c r="E2" s="90">
        <v>2309.0700000000002</v>
      </c>
      <c r="F2" s="94" t="str">
        <f>TRIM(A2)</f>
        <v>000602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род март</v>
      </c>
      <c r="I2" s="91" t="s">
        <v>387</v>
      </c>
      <c r="J2" s="31">
        <v>92701000</v>
      </c>
      <c r="M2" s="31">
        <f t="shared" ref="M2:M63" si="1">E2</f>
        <v>2309.0700000000002</v>
      </c>
    </row>
    <row r="3" spans="1:13" x14ac:dyDescent="0.25">
      <c r="A3" s="89" t="s">
        <v>403</v>
      </c>
      <c r="B3" s="89" t="s">
        <v>404</v>
      </c>
      <c r="C3" s="89" t="s">
        <v>402</v>
      </c>
      <c r="D3" s="89" t="s">
        <v>485</v>
      </c>
      <c r="E3" s="90">
        <v>2309.0700000000002</v>
      </c>
      <c r="F3" s="94" t="str">
        <f t="shared" ref="F3:F66" si="2">TRIM(A3)</f>
        <v>000603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род март</v>
      </c>
      <c r="I3" s="91" t="s">
        <v>387</v>
      </c>
      <c r="J3" s="31">
        <v>92701000</v>
      </c>
      <c r="M3" s="31">
        <f t="shared" si="1"/>
        <v>2309.0700000000002</v>
      </c>
    </row>
    <row r="4" spans="1:13" x14ac:dyDescent="0.25">
      <c r="A4" s="89" t="s">
        <v>405</v>
      </c>
      <c r="B4" s="89" t="s">
        <v>406</v>
      </c>
      <c r="C4" s="89" t="s">
        <v>402</v>
      </c>
      <c r="D4" s="89" t="s">
        <v>485</v>
      </c>
      <c r="E4" s="90">
        <v>2309.0700000000002</v>
      </c>
      <c r="F4" s="94" t="str">
        <f t="shared" si="2"/>
        <v>000604</v>
      </c>
      <c r="G4" s="31" t="str">
        <f t="shared" si="0"/>
        <v xml:space="preserve">Галеев Артур Ринатович                            </v>
      </c>
      <c r="H4" s="31" t="str">
        <f t="shared" si="3"/>
        <v>6а род март</v>
      </c>
      <c r="I4" s="91" t="s">
        <v>387</v>
      </c>
      <c r="J4" s="31">
        <v>92701000</v>
      </c>
      <c r="M4" s="31">
        <f t="shared" si="1"/>
        <v>2309.0700000000002</v>
      </c>
    </row>
    <row r="5" spans="1:13" x14ac:dyDescent="0.25">
      <c r="A5" s="89" t="s">
        <v>407</v>
      </c>
      <c r="B5" s="89" t="s">
        <v>408</v>
      </c>
      <c r="C5" s="89" t="s">
        <v>402</v>
      </c>
      <c r="D5" s="89" t="s">
        <v>485</v>
      </c>
      <c r="E5" s="90">
        <v>2309.0700000000002</v>
      </c>
      <c r="F5" s="94" t="str">
        <f t="shared" si="2"/>
        <v>000605</v>
      </c>
      <c r="G5" s="31" t="str">
        <f t="shared" si="0"/>
        <v xml:space="preserve">Галеев Карим Камилевич                            </v>
      </c>
      <c r="H5" s="31" t="str">
        <f t="shared" si="3"/>
        <v>6а род март</v>
      </c>
      <c r="I5" s="91" t="s">
        <v>387</v>
      </c>
      <c r="J5" s="31">
        <v>92701000</v>
      </c>
      <c r="M5" s="31">
        <f t="shared" si="1"/>
        <v>2309.0700000000002</v>
      </c>
    </row>
    <row r="6" spans="1:13" x14ac:dyDescent="0.25">
      <c r="A6" s="89" t="s">
        <v>409</v>
      </c>
      <c r="B6" s="89" t="s">
        <v>410</v>
      </c>
      <c r="C6" s="89" t="s">
        <v>402</v>
      </c>
      <c r="D6" s="89" t="s">
        <v>485</v>
      </c>
      <c r="E6" s="90">
        <v>2309.0700000000002</v>
      </c>
      <c r="F6" s="94" t="str">
        <f t="shared" si="2"/>
        <v>000607</v>
      </c>
      <c r="G6" s="31" t="str">
        <f t="shared" si="0"/>
        <v xml:space="preserve">Галиев Самат Ришатович                            </v>
      </c>
      <c r="H6" s="31" t="str">
        <f t="shared" si="3"/>
        <v>6а род март</v>
      </c>
      <c r="I6" s="91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89" t="s">
        <v>411</v>
      </c>
      <c r="B7" s="89" t="s">
        <v>412</v>
      </c>
      <c r="C7" s="89" t="s">
        <v>402</v>
      </c>
      <c r="D7" s="89" t="s">
        <v>485</v>
      </c>
      <c r="E7" s="90">
        <v>2309.0700000000002</v>
      </c>
      <c r="F7" s="94" t="str">
        <f t="shared" si="2"/>
        <v>000608</v>
      </c>
      <c r="G7" s="31" t="str">
        <f t="shared" si="0"/>
        <v xml:space="preserve">Гатауллин Тимур Ильнурович                        </v>
      </c>
      <c r="H7" s="31" t="str">
        <f t="shared" si="3"/>
        <v>6а род март</v>
      </c>
      <c r="I7" s="91" t="s">
        <v>387</v>
      </c>
      <c r="J7" s="31">
        <v>92701000</v>
      </c>
      <c r="M7" s="31">
        <f t="shared" si="1"/>
        <v>2309.0700000000002</v>
      </c>
    </row>
    <row r="8" spans="1:13" x14ac:dyDescent="0.25">
      <c r="A8" s="89" t="s">
        <v>413</v>
      </c>
      <c r="B8" s="89" t="s">
        <v>414</v>
      </c>
      <c r="C8" s="89" t="s">
        <v>402</v>
      </c>
      <c r="D8" s="89" t="s">
        <v>485</v>
      </c>
      <c r="E8" s="90">
        <v>2548.73</v>
      </c>
      <c r="F8" s="94" t="str">
        <f t="shared" si="2"/>
        <v>000609</v>
      </c>
      <c r="G8" s="31" t="str">
        <f t="shared" si="0"/>
        <v xml:space="preserve">Идрисов Чингиз Зуфарович                          </v>
      </c>
      <c r="H8" s="31" t="str">
        <f t="shared" si="3"/>
        <v>6а род март</v>
      </c>
      <c r="I8" s="91" t="s">
        <v>387</v>
      </c>
      <c r="J8" s="31">
        <v>92701000</v>
      </c>
      <c r="M8" s="31">
        <f t="shared" si="1"/>
        <v>2548.73</v>
      </c>
    </row>
    <row r="9" spans="1:13" x14ac:dyDescent="0.25">
      <c r="A9" s="89" t="s">
        <v>415</v>
      </c>
      <c r="B9" s="89" t="s">
        <v>416</v>
      </c>
      <c r="C9" s="89" t="s">
        <v>402</v>
      </c>
      <c r="D9" s="89" t="s">
        <v>485</v>
      </c>
      <c r="E9" s="90">
        <v>2183.86</v>
      </c>
      <c r="F9" s="94" t="str">
        <f t="shared" si="2"/>
        <v>000610</v>
      </c>
      <c r="G9" s="31" t="str">
        <f t="shared" si="0"/>
        <v xml:space="preserve">Камалетдинов Тимур Дамирович                      </v>
      </c>
      <c r="H9" s="31" t="str">
        <f t="shared" si="3"/>
        <v>6а род март</v>
      </c>
      <c r="I9" s="91" t="s">
        <v>387</v>
      </c>
      <c r="J9" s="31">
        <v>92701000</v>
      </c>
      <c r="M9" s="31">
        <f t="shared" si="1"/>
        <v>2183.86</v>
      </c>
    </row>
    <row r="10" spans="1:13" x14ac:dyDescent="0.25">
      <c r="A10" s="89" t="s">
        <v>417</v>
      </c>
      <c r="B10" s="89" t="s">
        <v>418</v>
      </c>
      <c r="C10" s="89" t="s">
        <v>402</v>
      </c>
      <c r="D10" s="89" t="s">
        <v>485</v>
      </c>
      <c r="E10" s="90">
        <v>2309.0700000000002</v>
      </c>
      <c r="F10" s="94" t="str">
        <f t="shared" si="2"/>
        <v>000611</v>
      </c>
      <c r="G10" s="31" t="str">
        <f t="shared" si="0"/>
        <v xml:space="preserve">Кулькачев Рустам Русланович                       </v>
      </c>
      <c r="H10" s="31" t="str">
        <f t="shared" si="3"/>
        <v>6а род март</v>
      </c>
      <c r="I10" s="91" t="s">
        <v>387</v>
      </c>
      <c r="J10" s="31">
        <v>92701000</v>
      </c>
      <c r="M10" s="31">
        <f t="shared" si="1"/>
        <v>2309.0700000000002</v>
      </c>
    </row>
    <row r="11" spans="1:13" x14ac:dyDescent="0.25">
      <c r="A11" s="89" t="s">
        <v>419</v>
      </c>
      <c r="B11" s="89" t="s">
        <v>420</v>
      </c>
      <c r="C11" s="89" t="s">
        <v>402</v>
      </c>
      <c r="D11" s="89" t="s">
        <v>485</v>
      </c>
      <c r="E11" s="90">
        <v>2309.0700000000002</v>
      </c>
      <c r="F11" s="94" t="str">
        <f t="shared" si="2"/>
        <v>000612</v>
      </c>
      <c r="G11" s="31" t="str">
        <f t="shared" si="0"/>
        <v xml:space="preserve">Лукманов Камиль Ильдарович                        </v>
      </c>
      <c r="H11" s="31" t="str">
        <f t="shared" si="3"/>
        <v>6а род март</v>
      </c>
      <c r="I11" s="91" t="s">
        <v>387</v>
      </c>
      <c r="J11" s="31">
        <v>92701000</v>
      </c>
      <c r="M11" s="31">
        <f t="shared" si="1"/>
        <v>2309.0700000000002</v>
      </c>
    </row>
    <row r="12" spans="1:13" x14ac:dyDescent="0.25">
      <c r="A12" s="89" t="s">
        <v>421</v>
      </c>
      <c r="B12" s="89" t="s">
        <v>422</v>
      </c>
      <c r="C12" s="89" t="s">
        <v>402</v>
      </c>
      <c r="D12" s="89" t="s">
        <v>485</v>
      </c>
      <c r="E12" s="90">
        <v>846.94</v>
      </c>
      <c r="F12" s="94" t="str">
        <f t="shared" si="2"/>
        <v>000614</v>
      </c>
      <c r="G12" s="31" t="str">
        <f t="shared" si="0"/>
        <v xml:space="preserve">Минлебаев Тимур Маратович                         </v>
      </c>
      <c r="H12" s="31" t="str">
        <f t="shared" si="3"/>
        <v>6а род март</v>
      </c>
      <c r="I12" s="91" t="s">
        <v>387</v>
      </c>
      <c r="J12" s="31">
        <v>92701000</v>
      </c>
      <c r="M12" s="31">
        <f t="shared" si="1"/>
        <v>846.94</v>
      </c>
    </row>
    <row r="13" spans="1:13" x14ac:dyDescent="0.25">
      <c r="A13" s="89" t="s">
        <v>423</v>
      </c>
      <c r="B13" s="89" t="s">
        <v>424</v>
      </c>
      <c r="C13" s="89" t="s">
        <v>402</v>
      </c>
      <c r="D13" s="89" t="s">
        <v>485</v>
      </c>
      <c r="E13" s="90">
        <v>2309.0700000000002</v>
      </c>
      <c r="F13" s="94" t="str">
        <f t="shared" si="2"/>
        <v>000613</v>
      </c>
      <c r="G13" s="31" t="str">
        <f t="shared" si="0"/>
        <v xml:space="preserve">Минневалеев Амир Рамилевич                        </v>
      </c>
      <c r="H13" s="31" t="str">
        <f t="shared" si="3"/>
        <v>6а род март</v>
      </c>
      <c r="I13" s="91" t="s">
        <v>387</v>
      </c>
      <c r="J13" s="31">
        <v>92701000</v>
      </c>
      <c r="M13" s="31">
        <f t="shared" si="1"/>
        <v>2309.0700000000002</v>
      </c>
    </row>
    <row r="14" spans="1:13" x14ac:dyDescent="0.25">
      <c r="A14" s="89" t="s">
        <v>425</v>
      </c>
      <c r="B14" s="89" t="s">
        <v>426</v>
      </c>
      <c r="C14" s="89" t="s">
        <v>402</v>
      </c>
      <c r="D14" s="89" t="s">
        <v>485</v>
      </c>
      <c r="E14" s="90">
        <v>2309.0700000000002</v>
      </c>
      <c r="F14" s="94" t="str">
        <f t="shared" si="2"/>
        <v>000615</v>
      </c>
      <c r="G14" s="31" t="str">
        <f t="shared" si="0"/>
        <v xml:space="preserve">Митягин Ярослав Никитич                           </v>
      </c>
      <c r="H14" s="31" t="str">
        <f t="shared" si="3"/>
        <v>6а род март</v>
      </c>
      <c r="I14" s="91" t="s">
        <v>387</v>
      </c>
      <c r="J14" s="31">
        <v>92701000</v>
      </c>
      <c r="M14" s="31">
        <f t="shared" si="1"/>
        <v>2309.0700000000002</v>
      </c>
    </row>
    <row r="15" spans="1:13" x14ac:dyDescent="0.25">
      <c r="A15" s="89" t="s">
        <v>427</v>
      </c>
      <c r="B15" s="89" t="s">
        <v>428</v>
      </c>
      <c r="C15" s="89" t="s">
        <v>402</v>
      </c>
      <c r="D15" s="89" t="s">
        <v>485</v>
      </c>
      <c r="E15" s="90">
        <v>2183.86</v>
      </c>
      <c r="F15" s="94" t="str">
        <f t="shared" si="2"/>
        <v>000616</v>
      </c>
      <c r="G15" s="31" t="str">
        <f t="shared" si="0"/>
        <v xml:space="preserve">Мустафин Артур Робертович                         </v>
      </c>
      <c r="H15" s="31" t="str">
        <f t="shared" si="3"/>
        <v>6а род март</v>
      </c>
      <c r="I15" s="91" t="s">
        <v>387</v>
      </c>
      <c r="J15" s="31">
        <v>92701000</v>
      </c>
      <c r="M15" s="31">
        <f t="shared" si="1"/>
        <v>2183.86</v>
      </c>
    </row>
    <row r="16" spans="1:13" x14ac:dyDescent="0.25">
      <c r="A16" s="89" t="s">
        <v>447</v>
      </c>
      <c r="B16" s="89" t="s">
        <v>448</v>
      </c>
      <c r="C16" s="89" t="s">
        <v>402</v>
      </c>
      <c r="D16" s="89" t="s">
        <v>485</v>
      </c>
      <c r="E16" s="90">
        <v>2309.0700000000002</v>
      </c>
      <c r="F16" s="94" t="str">
        <f t="shared" si="2"/>
        <v>000617</v>
      </c>
      <c r="G16" s="31" t="str">
        <f t="shared" si="0"/>
        <v xml:space="preserve">Мутыгуллин Данил Ленарович                        </v>
      </c>
      <c r="H16" s="31" t="str">
        <f t="shared" si="3"/>
        <v>6а род март</v>
      </c>
      <c r="I16" s="91" t="s">
        <v>387</v>
      </c>
      <c r="J16" s="31">
        <v>92701000</v>
      </c>
      <c r="M16" s="31">
        <f t="shared" si="1"/>
        <v>2309.0700000000002</v>
      </c>
    </row>
    <row r="17" spans="1:13" x14ac:dyDescent="0.25">
      <c r="A17" s="89" t="s">
        <v>445</v>
      </c>
      <c r="B17" s="89" t="s">
        <v>446</v>
      </c>
      <c r="C17" s="89" t="s">
        <v>402</v>
      </c>
      <c r="D17" s="89" t="s">
        <v>485</v>
      </c>
      <c r="E17" s="90">
        <v>2112.04</v>
      </c>
      <c r="F17" s="94" t="str">
        <f t="shared" si="2"/>
        <v>000618</v>
      </c>
      <c r="G17" s="31" t="str">
        <f t="shared" si="0"/>
        <v xml:space="preserve">Нуруллин Салават Раифович                         </v>
      </c>
      <c r="H17" s="31" t="str">
        <f t="shared" si="3"/>
        <v>6а род март</v>
      </c>
      <c r="I17" s="91" t="s">
        <v>387</v>
      </c>
      <c r="J17" s="31">
        <v>92701000</v>
      </c>
      <c r="M17" s="31">
        <f t="shared" si="1"/>
        <v>2112.04</v>
      </c>
    </row>
    <row r="18" spans="1:13" x14ac:dyDescent="0.25">
      <c r="A18" s="89" t="s">
        <v>429</v>
      </c>
      <c r="B18" s="89" t="s">
        <v>430</v>
      </c>
      <c r="C18" s="89" t="s">
        <v>402</v>
      </c>
      <c r="D18" s="89" t="s">
        <v>485</v>
      </c>
      <c r="E18" s="90">
        <v>2309.0700000000002</v>
      </c>
      <c r="F18" s="94" t="str">
        <f t="shared" si="2"/>
        <v>000619</v>
      </c>
      <c r="G18" s="31" t="str">
        <f t="shared" si="0"/>
        <v xml:space="preserve">Сайфутдинов Расул Рамилевич                       </v>
      </c>
      <c r="H18" s="31" t="str">
        <f t="shared" si="3"/>
        <v>6а род март</v>
      </c>
      <c r="I18" s="91" t="s">
        <v>387</v>
      </c>
      <c r="J18" s="31">
        <v>92701000</v>
      </c>
      <c r="M18" s="31">
        <f t="shared" si="1"/>
        <v>2309.0700000000002</v>
      </c>
    </row>
    <row r="19" spans="1:13" x14ac:dyDescent="0.25">
      <c r="A19" s="89" t="s">
        <v>431</v>
      </c>
      <c r="B19" s="89" t="s">
        <v>432</v>
      </c>
      <c r="C19" s="89" t="s">
        <v>402</v>
      </c>
      <c r="D19" s="89" t="s">
        <v>485</v>
      </c>
      <c r="E19" s="90">
        <v>2309.0700000000002</v>
      </c>
      <c r="F19" s="94" t="str">
        <f t="shared" si="2"/>
        <v>000620</v>
      </c>
      <c r="G19" s="31" t="str">
        <f t="shared" si="0"/>
        <v xml:space="preserve">Фазылянов Юсуф Русланович                         </v>
      </c>
      <c r="H19" s="31" t="str">
        <f t="shared" si="3"/>
        <v>6а род март</v>
      </c>
      <c r="I19" s="91" t="s">
        <v>387</v>
      </c>
      <c r="J19" s="31">
        <v>92701000</v>
      </c>
      <c r="M19" s="31">
        <f t="shared" si="1"/>
        <v>2309.0700000000002</v>
      </c>
    </row>
    <row r="20" spans="1:13" x14ac:dyDescent="0.25">
      <c r="A20" s="89" t="s">
        <v>433</v>
      </c>
      <c r="B20" s="89" t="s">
        <v>434</v>
      </c>
      <c r="C20" s="89" t="s">
        <v>402</v>
      </c>
      <c r="D20" s="89" t="s">
        <v>485</v>
      </c>
      <c r="E20" s="90">
        <v>2169.83</v>
      </c>
      <c r="F20" s="94" t="str">
        <f t="shared" si="2"/>
        <v>000621</v>
      </c>
      <c r="G20" s="31" t="str">
        <f t="shared" si="0"/>
        <v xml:space="preserve">Хадиев Аяз Камилевич                              </v>
      </c>
      <c r="H20" s="31" t="str">
        <f t="shared" si="3"/>
        <v>6а род март</v>
      </c>
      <c r="I20" s="91" t="s">
        <v>387</v>
      </c>
      <c r="J20" s="31">
        <v>92701000</v>
      </c>
      <c r="M20" s="31">
        <f t="shared" si="1"/>
        <v>2169.83</v>
      </c>
    </row>
    <row r="21" spans="1:13" x14ac:dyDescent="0.25">
      <c r="A21" s="89" t="s">
        <v>435</v>
      </c>
      <c r="B21" s="89" t="s">
        <v>436</v>
      </c>
      <c r="C21" s="89" t="s">
        <v>402</v>
      </c>
      <c r="D21" s="89" t="s">
        <v>485</v>
      </c>
      <c r="E21" s="90">
        <v>2309.0700000000002</v>
      </c>
      <c r="F21" s="94" t="str">
        <f t="shared" si="2"/>
        <v>000622</v>
      </c>
      <c r="G21" s="31" t="str">
        <f t="shared" si="0"/>
        <v xml:space="preserve">Ханов Ильхан Айнурович                            </v>
      </c>
      <c r="H21" s="31" t="str">
        <f t="shared" si="3"/>
        <v>6а род март</v>
      </c>
      <c r="I21" s="91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89" t="s">
        <v>437</v>
      </c>
      <c r="B22" s="89" t="s">
        <v>438</v>
      </c>
      <c r="C22" s="89" t="s">
        <v>402</v>
      </c>
      <c r="D22" s="89" t="s">
        <v>485</v>
      </c>
      <c r="E22" s="90">
        <v>2309.0700000000002</v>
      </c>
      <c r="F22" s="94" t="str">
        <f t="shared" si="2"/>
        <v>000623</v>
      </c>
      <c r="G22" s="31" t="str">
        <f t="shared" si="0"/>
        <v xml:space="preserve">Хусаинов Амир Ильнурович                          </v>
      </c>
      <c r="H22" s="31" t="str">
        <f t="shared" si="3"/>
        <v>6а род март</v>
      </c>
      <c r="I22" s="91" t="s">
        <v>387</v>
      </c>
      <c r="J22" s="31">
        <v>92701000</v>
      </c>
      <c r="M22" s="31">
        <f t="shared" si="1"/>
        <v>2309.0700000000002</v>
      </c>
    </row>
    <row r="23" spans="1:13" x14ac:dyDescent="0.25">
      <c r="A23" s="89" t="s">
        <v>439</v>
      </c>
      <c r="B23" s="89" t="s">
        <v>440</v>
      </c>
      <c r="C23" s="89" t="s">
        <v>402</v>
      </c>
      <c r="D23" s="89" t="s">
        <v>485</v>
      </c>
      <c r="E23" s="90">
        <v>2309.81</v>
      </c>
      <c r="F23" s="94" t="str">
        <f t="shared" si="2"/>
        <v>000624</v>
      </c>
      <c r="G23" s="31" t="str">
        <f t="shared" si="0"/>
        <v xml:space="preserve">Шарафутдинов Карим Харонович                      </v>
      </c>
      <c r="H23" s="31" t="str">
        <f t="shared" si="3"/>
        <v>6а род март</v>
      </c>
      <c r="I23" s="91" t="s">
        <v>387</v>
      </c>
      <c r="J23" s="31">
        <v>92701000</v>
      </c>
      <c r="M23" s="31">
        <f t="shared" si="1"/>
        <v>2309.81</v>
      </c>
    </row>
    <row r="24" spans="1:13" x14ac:dyDescent="0.25">
      <c r="A24" s="89" t="s">
        <v>441</v>
      </c>
      <c r="B24" s="89" t="s">
        <v>442</v>
      </c>
      <c r="C24" s="89" t="s">
        <v>402</v>
      </c>
      <c r="D24" s="89" t="s">
        <v>485</v>
      </c>
      <c r="E24" s="90">
        <v>2309.0700000000002</v>
      </c>
      <c r="F24" s="94" t="str">
        <f t="shared" si="2"/>
        <v>000625</v>
      </c>
      <c r="G24" s="31" t="str">
        <f t="shared" si="0"/>
        <v xml:space="preserve">Шарафутдинов Шамиль Линарович                     </v>
      </c>
      <c r="H24" s="31" t="str">
        <f t="shared" si="3"/>
        <v>6а род март</v>
      </c>
      <c r="I24" s="91" t="s">
        <v>387</v>
      </c>
      <c r="J24" s="31">
        <v>92701000</v>
      </c>
      <c r="M24" s="31">
        <f t="shared" si="1"/>
        <v>2309.0700000000002</v>
      </c>
    </row>
    <row r="25" spans="1:13" x14ac:dyDescent="0.25">
      <c r="A25" s="89" t="s">
        <v>443</v>
      </c>
      <c r="B25" s="89" t="s">
        <v>444</v>
      </c>
      <c r="C25" s="89" t="s">
        <v>402</v>
      </c>
      <c r="D25" s="89" t="s">
        <v>485</v>
      </c>
      <c r="E25" s="90">
        <v>4849.07</v>
      </c>
      <c r="F25" s="94" t="str">
        <f t="shared" si="2"/>
        <v>000626</v>
      </c>
      <c r="G25" s="31" t="str">
        <f t="shared" si="0"/>
        <v xml:space="preserve">Яхин Амин Эльдарович                              </v>
      </c>
      <c r="H25" s="31" t="str">
        <f t="shared" si="3"/>
        <v>6а род март</v>
      </c>
      <c r="I25" s="91" t="s">
        <v>387</v>
      </c>
      <c r="J25" s="31">
        <v>92701000</v>
      </c>
      <c r="M25" s="31">
        <f t="shared" si="1"/>
        <v>4849.07</v>
      </c>
    </row>
    <row r="26" spans="1:13" x14ac:dyDescent="0.25">
      <c r="A26" s="89" t="s">
        <v>397</v>
      </c>
      <c r="B26" s="89" t="s">
        <v>398</v>
      </c>
      <c r="C26" s="89" t="s">
        <v>396</v>
      </c>
      <c r="D26" s="89" t="s">
        <v>395</v>
      </c>
      <c r="E26" s="90">
        <v>8540</v>
      </c>
      <c r="F26" s="94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1" t="s">
        <v>387</v>
      </c>
      <c r="J26" s="31">
        <v>92701000</v>
      </c>
      <c r="M26" s="31">
        <f t="shared" si="1"/>
        <v>8540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387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387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387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si="1"/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1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4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si="5"/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5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4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si="9"/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9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4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si="13"/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3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4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si="17"/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17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4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si="21"/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1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4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si="25"/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5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4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si="29"/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29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4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si="33"/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3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4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si="37"/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37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4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si="41"/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1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4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si="45"/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5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4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si="49"/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49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4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si="53"/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3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4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si="57"/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57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4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si="61"/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1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4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si="65"/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5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4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si="69"/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69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4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si="73"/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3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4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si="77"/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77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4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F1296" s="94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1" t="s">
        <v>387</v>
      </c>
      <c r="J1296" s="31">
        <v>92701000</v>
      </c>
      <c r="M1296" s="31">
        <f t="shared" si="81"/>
        <v>0</v>
      </c>
    </row>
    <row r="1297" spans="6:13" x14ac:dyDescent="0.25">
      <c r="F1297" s="94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1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1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1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3"/>
  <sheetViews>
    <sheetView tabSelected="1" workbookViewId="0">
      <pane ySplit="6" topLeftCell="A7" activePane="bottomLeft" state="frozen"/>
      <selection activeCell="A2" sqref="A2"/>
      <selection pane="bottomLeft" activeCell="F20" sqref="F2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1657032924_03234643927010001100__24.03.2023.TXT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2309.0700000000002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437</v>
      </c>
      <c r="B7" s="92" t="s">
        <v>438</v>
      </c>
      <c r="C7" s="92" t="s">
        <v>486</v>
      </c>
      <c r="D7" s="92" t="s">
        <v>387</v>
      </c>
      <c r="E7" s="92">
        <v>92701000</v>
      </c>
      <c r="F7" s="92"/>
      <c r="G7" s="92"/>
      <c r="H7" s="93">
        <v>2309.0700000000002</v>
      </c>
    </row>
    <row r="8" spans="1:8" s="59" customFormat="1" x14ac:dyDescent="0.25">
      <c r="A8" s="95"/>
      <c r="B8" s="95"/>
      <c r="C8" s="95"/>
      <c r="D8" s="95"/>
    </row>
    <row r="9" spans="1:8" s="59" customFormat="1" x14ac:dyDescent="0.25">
      <c r="A9" s="95"/>
      <c r="B9" s="95"/>
      <c r="C9" s="95"/>
      <c r="D9" s="95"/>
    </row>
    <row r="10" spans="1:8" s="59" customFormat="1" x14ac:dyDescent="0.25">
      <c r="A10" s="95"/>
      <c r="B10" s="95"/>
      <c r="C10" s="95"/>
      <c r="D10" s="95"/>
    </row>
    <row r="11" spans="1:8" s="59" customFormat="1" x14ac:dyDescent="0.25">
      <c r="A11" s="95"/>
      <c r="B11" s="95"/>
      <c r="C11" s="95"/>
      <c r="D11" s="95"/>
    </row>
    <row r="12" spans="1:8" s="59" customFormat="1" x14ac:dyDescent="0.25">
      <c r="A12" s="95"/>
      <c r="B12" s="95"/>
      <c r="C12" s="95"/>
      <c r="D12" s="95"/>
    </row>
    <row r="13" spans="1:8" s="59" customFormat="1" x14ac:dyDescent="0.25">
      <c r="A13" s="95"/>
      <c r="B13" s="95"/>
      <c r="C13" s="95"/>
      <c r="D13" s="95"/>
    </row>
    <row r="14" spans="1:8" s="59" customFormat="1" x14ac:dyDescent="0.25">
      <c r="A14" s="95"/>
      <c r="B14" s="95"/>
      <c r="C14" s="95"/>
      <c r="D14" s="95"/>
    </row>
    <row r="15" spans="1:8" s="59" customFormat="1" x14ac:dyDescent="0.25">
      <c r="A15" s="95"/>
      <c r="B15" s="95"/>
      <c r="C15" s="95"/>
      <c r="D15" s="95"/>
    </row>
    <row r="16" spans="1:8" s="59" customFormat="1" x14ac:dyDescent="0.25">
      <c r="A16" s="95"/>
      <c r="B16" s="95"/>
      <c r="C16" s="95"/>
      <c r="D16" s="95"/>
    </row>
    <row r="17" spans="1:4" s="59" customFormat="1" x14ac:dyDescent="0.25">
      <c r="A17" s="95"/>
      <c r="B17" s="95"/>
      <c r="C17" s="95"/>
      <c r="D17" s="95"/>
    </row>
    <row r="18" spans="1:4" s="59" customFormat="1" x14ac:dyDescent="0.25">
      <c r="A18" s="95"/>
      <c r="B18" s="95"/>
      <c r="C18" s="95"/>
      <c r="D18" s="95"/>
    </row>
    <row r="19" spans="1:4" s="59" customFormat="1" x14ac:dyDescent="0.25">
      <c r="A19" s="95"/>
      <c r="B19" s="95"/>
      <c r="C19" s="95"/>
      <c r="D19" s="95"/>
    </row>
    <row r="20" spans="1:4" s="59" customFormat="1" x14ac:dyDescent="0.25">
      <c r="A20" s="95"/>
      <c r="B20" s="95"/>
      <c r="C20" s="95"/>
      <c r="D20" s="95"/>
    </row>
    <row r="21" spans="1:4" s="59" customFormat="1" x14ac:dyDescent="0.25">
      <c r="A21" s="95"/>
      <c r="B21" s="95"/>
      <c r="C21" s="95"/>
      <c r="D21" s="95"/>
    </row>
    <row r="22" spans="1:4" s="59" customFormat="1" x14ac:dyDescent="0.25">
      <c r="A22" s="95"/>
      <c r="B22" s="95"/>
      <c r="C22" s="95"/>
      <c r="D22" s="95"/>
    </row>
    <row r="23" spans="1:4" s="59" customFormat="1" x14ac:dyDescent="0.25">
      <c r="A23" s="95"/>
      <c r="B23" s="95"/>
      <c r="C23" s="95"/>
      <c r="D23" s="95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399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450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450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458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458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450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450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450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450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450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450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452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452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450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450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481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481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482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482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1" t="s">
        <v>95</v>
      </c>
      <c r="B621" s="111"/>
      <c r="C621" s="111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484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450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484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450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1" t="s">
        <v>95</v>
      </c>
      <c r="B648" s="111"/>
      <c r="C648" s="111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2023-03-24T11:27:28Z</dcterms:modified>
</cp:coreProperties>
</file>