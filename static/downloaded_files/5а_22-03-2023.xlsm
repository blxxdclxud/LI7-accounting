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4" i="282" l="1"/>
  <c r="C573" i="282"/>
  <c r="C586" i="282" s="1"/>
  <c r="C571" i="282"/>
  <c r="C569" i="282"/>
  <c r="C582" i="282" s="1"/>
  <c r="C557" i="282"/>
  <c r="C546" i="282"/>
  <c r="C559" i="282" s="1"/>
  <c r="C544" i="282"/>
  <c r="C542" i="282"/>
  <c r="C555" i="282" s="1"/>
  <c r="C530" i="282"/>
  <c r="C519" i="282"/>
  <c r="C532" i="282" s="1"/>
  <c r="C517" i="282"/>
  <c r="C515" i="282"/>
  <c r="C528" i="282" s="1"/>
  <c r="C503" i="282"/>
  <c r="C492" i="282"/>
  <c r="C505" i="282" s="1"/>
  <c r="C490" i="282"/>
  <c r="C488" i="282"/>
  <c r="C501" i="282" s="1"/>
  <c r="C476" i="282"/>
  <c r="C465" i="282"/>
  <c r="C478" i="282" s="1"/>
  <c r="C463" i="282"/>
  <c r="C461" i="282"/>
  <c r="C474" i="282" s="1"/>
  <c r="C449" i="282"/>
  <c r="C438" i="282"/>
  <c r="C451" i="282" s="1"/>
  <c r="C436" i="282"/>
  <c r="C434" i="282"/>
  <c r="C447" i="282" s="1"/>
  <c r="C422" i="282"/>
  <c r="C411" i="282"/>
  <c r="C424" i="282" s="1"/>
  <c r="C409" i="282"/>
  <c r="C407" i="282"/>
  <c r="C420" i="282" s="1"/>
  <c r="C395" i="282"/>
  <c r="C384" i="282"/>
  <c r="C397" i="282" s="1"/>
  <c r="C382" i="282"/>
  <c r="C380" i="282"/>
  <c r="C393" i="282" s="1"/>
  <c r="C368" i="282"/>
  <c r="C357" i="282"/>
  <c r="C370" i="282" s="1"/>
  <c r="C355" i="282"/>
  <c r="C353" i="282"/>
  <c r="C366" i="282" s="1"/>
  <c r="C341" i="282"/>
  <c r="C330" i="282"/>
  <c r="C343" i="282" s="1"/>
  <c r="C328" i="282"/>
  <c r="C326" i="282"/>
  <c r="C339" i="282" s="1"/>
  <c r="C314" i="282"/>
  <c r="C303" i="282"/>
  <c r="C316" i="282" s="1"/>
  <c r="C301" i="282"/>
  <c r="C299" i="282"/>
  <c r="C312" i="282" s="1"/>
  <c r="C287" i="282"/>
  <c r="C276" i="282"/>
  <c r="C289" i="282" s="1"/>
  <c r="C274" i="282"/>
  <c r="C272" i="282"/>
  <c r="C285" i="282" s="1"/>
  <c r="C260" i="282"/>
  <c r="C249" i="282"/>
  <c r="C262" i="282" s="1"/>
  <c r="C247" i="282"/>
  <c r="C245" i="282"/>
  <c r="C258" i="282" s="1"/>
  <c r="C233" i="282"/>
  <c r="C222" i="282"/>
  <c r="C235" i="282" s="1"/>
  <c r="C220" i="282"/>
  <c r="C218" i="282"/>
  <c r="C231" i="282" s="1"/>
  <c r="C206" i="282"/>
  <c r="C195" i="282"/>
  <c r="C208" i="282" s="1"/>
  <c r="C193" i="282"/>
  <c r="C191" i="282"/>
  <c r="C204" i="282" s="1"/>
  <c r="C179" i="282"/>
  <c r="C168" i="282"/>
  <c r="C181" i="282" s="1"/>
  <c r="C166" i="282"/>
  <c r="C164" i="282"/>
  <c r="C177" i="282" s="1"/>
  <c r="C152" i="282"/>
  <c r="C141" i="282"/>
  <c r="C154" i="282" s="1"/>
  <c r="C139" i="282"/>
  <c r="C137" i="282"/>
  <c r="C150" i="282" s="1"/>
  <c r="C125" i="282"/>
  <c r="C114" i="282"/>
  <c r="C127" i="282" s="1"/>
  <c r="C112" i="282"/>
  <c r="C110" i="282"/>
  <c r="C123" i="282" s="1"/>
  <c r="C98" i="282"/>
  <c r="C87" i="282"/>
  <c r="C100" i="282" s="1"/>
  <c r="C85" i="282"/>
  <c r="C83" i="282"/>
  <c r="C96" i="282" s="1"/>
  <c r="C71" i="282"/>
  <c r="C60" i="282"/>
  <c r="C73" i="282" s="1"/>
  <c r="C58" i="282"/>
  <c r="C56" i="282"/>
  <c r="C69" i="282" s="1"/>
  <c r="C44" i="282"/>
  <c r="C33" i="282"/>
  <c r="C46" i="282" s="1"/>
  <c r="C31" i="282"/>
  <c r="C29" i="282"/>
  <c r="C42" i="282" s="1"/>
  <c r="C17" i="282"/>
  <c r="C6" i="282"/>
  <c r="C19" i="282" s="1"/>
  <c r="C4" i="282"/>
  <c r="C2" i="282"/>
  <c r="C15" i="282" s="1"/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G1304" i="268" l="1"/>
  <c r="G1303" i="268"/>
  <c r="G1302" i="268"/>
  <c r="G1301" i="268"/>
  <c r="G1300" i="268"/>
  <c r="G1299" i="268"/>
  <c r="G1298" i="268"/>
  <c r="G1297" i="268"/>
  <c r="G1296" i="268"/>
  <c r="G1295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<sst xmlns="http://schemas.openxmlformats.org/spreadsheetml/2006/main" count="2509" uniqueCount="473">
  <si>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</si>
  <si>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</si>
  <si>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</si>
  <si>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</si>
  <si>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</si>
  <si>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</si>
  <si>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</si>
  <si>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</si>
  <si>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</si>
  <si>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</si>
  <si>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</si>
  <si>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</si>
  <si>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</si>
  <si>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</si>
  <si>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</si>
  <si>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</si>
  <si>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</si>
  <si>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</si>
  <si>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</si>
  <si>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</si>
  <si>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</si>
  <si>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</si>
  <si>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</si>
  <si>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</si>
  <si>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</si>
  <si>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</si>
  <si>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</si>
  <si>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</si>
  <si>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</si>
  <si>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</si>
  <si>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</si>
  <si>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</si>
  <si>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</si>
  <si>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</si>
  <si>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</si>
  <si>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</si>
  <si>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</si>
  <si>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</si>
  <si>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</si>
  <si>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</si>
  <si>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</si>
  <si>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</si>
  <si>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</si>
  <si>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</si>
  <si>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</si>
  <si>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</si>
  <si>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</si>
  <si>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</si>
  <si>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</si>
  <si>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</si>
  <si>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</si>
  <si>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</si>
  <si>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</si>
  <si>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</si>
  <si>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</si>
  <si>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</si>
  <si>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</si>
  <si>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</si>
  <si>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</si>
  <si>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</si>
  <si>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</si>
  <si>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</si>
  <si>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</si>
  <si>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</si>
  <si>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</si>
  <si>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</si>
  <si>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</si>
  <si>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</si>
  <si>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</si>
  <si>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</si>
  <si>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</si>
  <si>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</si>
  <si>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</si>
  <si>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</si>
  <si>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</si>
  <si>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</si>
  <si>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</si>
  <si>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</si>
  <si>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</si>
  <si>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</si>
  <si>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</si>
  <si>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</si>
  <si>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</si>
  <si>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</si>
  <si>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</si>
  <si>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</si>
  <si>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</si>
  <si>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</si>
  <si>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</si>
  <si>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</si>
  <si>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</si>
  <si>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</si>
  <si>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</si>
  <si>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</si>
  <si>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</si>
  <si>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</si>
  <si>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</si>
  <si>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</si>
  <si>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</si>
  <si>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</si>
  <si>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</si>
  <si>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</si>
  <si>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</si>
  <si>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</si>
  <si>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</si>
  <si>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</si>
  <si>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</si>
  <si>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</si>
  <si>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</si>
  <si>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</si>
  <si>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</si>
  <si>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</si>
  <si>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</si>
  <si>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</si>
  <si>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</si>
  <si>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</si>
  <si>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</si>
  <si>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</si>
  <si>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</si>
  <si>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</si>
  <si>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</si>
  <si>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</si>
  <si>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</si>
  <si>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</si>
  <si>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</si>
  <si>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</si>
  <si>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</si>
  <si>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</si>
  <si>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</si>
  <si>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</si>
  <si>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</si>
  <si>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</si>
  <si>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</si>
  <si>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</si>
  <si>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</si>
  <si>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</si>
  <si>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</si>
  <si>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</si>
  <si>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</si>
  <si>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</si>
  <si>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</si>
  <si>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</si>
  <si>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</si>
  <si>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</si>
  <si>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</si>
  <si>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</si>
  <si>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</si>
  <si>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</si>
  <si>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</si>
  <si>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</si>
  <si>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</si>
  <si>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</si>
  <si>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</si>
  <si>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</si>
  <si>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</si>
  <si>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</si>
  <si>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</si>
  <si>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</si>
  <si>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</si>
  <si>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</si>
  <si>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</si>
  <si>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</si>
  <si>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</si>
  <si>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</si>
  <si>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</si>
  <si>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</si>
  <si>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</si>
  <si>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</si>
  <si>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</si>
  <si>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</si>
  <si>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</si>
  <si>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</si>
  <si>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</si>
  <si>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</si>
  <si>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</si>
  <si>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</si>
  <si>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</si>
  <si>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</si>
  <si>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</si>
  <si>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</si>
  <si>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</si>
  <si>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</si>
  <si>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</si>
  <si>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</si>
  <si>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</si>
  <si>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</si>
  <si>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</si>
  <si>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</si>
  <si>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</si>
  <si>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</si>
  <si>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</si>
  <si>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</si>
  <si>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</si>
  <si>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</si>
  <si>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</si>
  <si>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</si>
  <si>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</si>
  <si>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</si>
  <si>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</si>
  <si>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</si>
  <si>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</si>
  <si>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</si>
  <si>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</si>
  <si>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</si>
  <si>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</si>
  <si>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</si>
  <si>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</si>
  <si>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</si>
  <si>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</si>
  <si>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</si>
  <si>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</si>
  <si>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</si>
  <si>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</si>
  <si>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</si>
  <si>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</si>
  <si>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</si>
  <si>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</si>
  <si>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</si>
  <si>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</si>
  <si>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</si>
  <si>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</si>
  <si>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</si>
  <si>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</si>
  <si>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</si>
  <si>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</si>
  <si>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</si>
  <si>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</si>
  <si>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</si>
  <si>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</si>
  <si>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</si>
  <si>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</si>
  <si>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</si>
  <si>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</si>
  <si>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</si>
  <si>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</si>
  <si>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</si>
  <si>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</si>
  <si>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</si>
  <si>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</si>
  <si>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</si>
  <si>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</si>
  <si>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</si>
  <si>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</si>
  <si>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</si>
  <si>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</si>
  <si>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</si>
  <si>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</si>
  <si>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</si>
  <si>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</si>
  <si>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</si>
  <si>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</si>
  <si>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</si>
  <si>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</si>
  <si>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</si>
  <si>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</si>
  <si>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</si>
  <si>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</si>
  <si>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</si>
  <si>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</si>
  <si>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</si>
  <si>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</si>
  <si>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</si>
  <si>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</si>
  <si>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</si>
  <si>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</si>
  <si>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</si>
  <si>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</si>
  <si>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</si>
  <si>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</si>
  <si>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</si>
  <si>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</si>
  <si>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</si>
  <si>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</si>
  <si>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</si>
  <si>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</si>
  <si>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</si>
  <si>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</si>
  <si>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</si>
  <si>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</si>
  <si>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</si>
  <si>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</si>
  <si>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</si>
  <si>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</si>
  <si>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</si>
  <si>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</si>
  <si>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</si>
  <si>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</si>
  <si>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</si>
  <si>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</si>
  <si>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</si>
  <si>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</si>
  <si>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</si>
  <si>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</si>
  <si>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</si>
  <si>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</si>
  <si>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</si>
  <si>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</si>
  <si>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</si>
  <si>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</si>
  <si>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</si>
  <si>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</si>
  <si>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</si>
  <si>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</si>
  <si>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</si>
  <si>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</si>
  <si>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</si>
  <si>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</si>
  <si>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</si>
  <si>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</si>
  <si>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</si>
  <si>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</si>
  <si>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</si>
  <si>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</si>
  <si>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</si>
  <si>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</si>
  <si>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</si>
  <si>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</si>
  <si>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</si>
  <si>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</si>
  <si>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</si>
  <si>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</si>
  <si>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</si>
  <si>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</si>
  <si>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</si>
  <si>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</si>
  <si>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</si>
  <si>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</si>
  <si>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</si>
  <si>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</si>
  <si>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</si>
  <si>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</si>
  <si>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</si>
  <si>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</si>
  <si>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</si>
  <si>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</si>
  <si>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</si>
  <si>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</si>
  <si>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</si>
  <si>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</si>
  <si>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</si>
  <si>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</si>
  <si>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</si>
  <si>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</si>
  <si>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</si>
  <si>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</si>
  <si>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</si>
  <si>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</si>
  <si>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</si>
  <si>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</si>
  <si>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</si>
  <si>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</si>
  <si>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</si>
  <si>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</si>
  <si>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</si>
  <si>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</si>
  <si>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</si>
  <si>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</si>
  <si>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</si>
  <si>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</si>
  <si>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</si>
  <si>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</si>
  <si>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</si>
  <si>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</si>
  <si>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</si>
  <si>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</si>
  <si>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</si>
  <si>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</si>
  <si>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</si>
  <si>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</si>
  <si>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</si>
  <si>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</si>
  <si>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</si>
  <si>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</si>
  <si>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</si>
  <si>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</si>
  <si>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</si>
  <si>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</si>
  <si>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</si>
  <si>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</si>
  <si>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</si>
  <si>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</si>
  <si>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</si>
  <si>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</si>
  <si>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</si>
  <si>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</si>
  <si>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</si>
  <si>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</si>
  <si>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</si>
  <si>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</si>
  <si>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</si>
  <si>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</si>
  <si>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</si>
  <si>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</si>
  <si>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</si>
  <si>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</si>
  <si>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</si>
  <si>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000763</t>
  </si>
  <si>
    <t xml:space="preserve">Абдрахманов Юлдаш Рафикович                       </t>
  </si>
  <si>
    <t xml:space="preserve">5а род              </t>
  </si>
  <si>
    <t>000790</t>
  </si>
  <si>
    <t xml:space="preserve">Аджигитов Ахмад Рафаэльевич                       </t>
  </si>
  <si>
    <t>000723</t>
  </si>
  <si>
    <t xml:space="preserve">Айзатуллин Амир Эмилевич                          </t>
  </si>
  <si>
    <t>000820</t>
  </si>
  <si>
    <t xml:space="preserve">Ахмадуллин Арслан Наилевич                        </t>
  </si>
  <si>
    <t>000724</t>
  </si>
  <si>
    <t xml:space="preserve">Волков Дмитрий Евгеньевич                         </t>
  </si>
  <si>
    <t>000816</t>
  </si>
  <si>
    <t xml:space="preserve">Галаутдинов Камиль Рустамович                     </t>
  </si>
  <si>
    <t>000815</t>
  </si>
  <si>
    <t xml:space="preserve">Гаранин Кирилл Андреевич                          </t>
  </si>
  <si>
    <t>000718</t>
  </si>
  <si>
    <t xml:space="preserve">Гилманов Амир Рустемович                          </t>
  </si>
  <si>
    <t>000767</t>
  </si>
  <si>
    <t xml:space="preserve">Гимранов Рифат Рамилевич                          </t>
  </si>
  <si>
    <t>000823</t>
  </si>
  <si>
    <t xml:space="preserve">Давлетов Али Радикович                            </t>
  </si>
  <si>
    <t>000716</t>
  </si>
  <si>
    <t xml:space="preserve">Ильичев Денис Алексеевич                          </t>
  </si>
  <si>
    <t>000769</t>
  </si>
  <si>
    <t xml:space="preserve">Кудинов Нил Александрович                         </t>
  </si>
  <si>
    <t>000817</t>
  </si>
  <si>
    <t xml:space="preserve">Минимуллин Камиль Расимович                       </t>
  </si>
  <si>
    <t>000772</t>
  </si>
  <si>
    <t xml:space="preserve">Муллакаев Ибрахим Фидаилевич                      </t>
  </si>
  <si>
    <t>000788</t>
  </si>
  <si>
    <t xml:space="preserve">Мустафин Султан Радикович                         </t>
  </si>
  <si>
    <t>000822</t>
  </si>
  <si>
    <t xml:space="preserve">Олудин Никита Алексеевич                          </t>
  </si>
  <si>
    <t>000838</t>
  </si>
  <si>
    <t xml:space="preserve">Фатхутдинов Карим Динарович                       </t>
  </si>
  <si>
    <t>000776</t>
  </si>
  <si>
    <t xml:space="preserve">Хаертдинов Мурат Наилевич                         </t>
  </si>
  <si>
    <t>000818</t>
  </si>
  <si>
    <t xml:space="preserve">Шаммасов Мансур Ренатович                         </t>
  </si>
  <si>
    <t>000758</t>
  </si>
  <si>
    <t xml:space="preserve">Шарафутдинов Тагир Азатович                       </t>
  </si>
  <si>
    <t>000824</t>
  </si>
  <si>
    <t xml:space="preserve">Яруллин Халиль Фаилевич                           </t>
  </si>
  <si>
    <t>000821</t>
  </si>
  <si>
    <t xml:space="preserve">Валиев Азамат Ленарович                           </t>
  </si>
  <si>
    <t>ЛС: 000763; ФИО обучающегося: Абдрахманов Юлдаш Рафикович                       ; Назначение: 5а род февраль; КБК: 82100000000000003131; ОКТМО: 92701000</t>
  </si>
  <si>
    <t>Сумма: 2838 руб. 53 коп.</t>
  </si>
  <si>
    <t>ЛС: 000790; ФИО обучающегося: Аджигитов Ахмад Рафаэльевич                       ; Назначение: 5а род февраль; КБК: 82100000000000003131; ОКТМО: 92701000</t>
  </si>
  <si>
    <t>Сумма: 2838 руб. 00 коп.</t>
  </si>
  <si>
    <t>ЛС: 000723; ФИО обучающегося: Айзатуллин Амир Эмилевич                          ; Назначение: 5а род февраль; КБК: 82100000000000003131; ОКТМО: 92701000</t>
  </si>
  <si>
    <t>Сумма: 8312 руб. 88 коп.</t>
  </si>
  <si>
    <t>ЛС: 000820; ФИО обучающегося: Ахмадуллин Арслан Наилевич                        ; Назначение: 5а род февраль; КБК: 82100000000000003131; ОКТМО: 92701000</t>
  </si>
  <si>
    <t>ЛС: 000821; ФИО обучающегося: Валиев Азамат Ленарович                           ; Назначение: 5а род февраль; КБК: 82100000000000003131; ОКТМО: 92701000</t>
  </si>
  <si>
    <t>Сумма: 2540 руб. 00 коп.</t>
  </si>
  <si>
    <t>ЛС: 000724; ФИО обучающегося: Волков Дмитрий Евгеньевич                         ; Назначение: 5а род февраль; КБК: 82100000000000003131; ОКТМО: 92701000</t>
  </si>
  <si>
    <t>ЛС: 000816; ФИО обучающегося: Галаутдинов Камиль Рустамович                     ; Назначение: 5а род февраль; КБК: 82100000000000003131; ОКТМО: 92701000</t>
  </si>
  <si>
    <t>ЛС: 000815; ФИО обучающегося: Гаранин Кирилл Андреевич                          ; Назначение: 5а род февраль; КБК: 82100000000000003131; ОКТМО: 92701000</t>
  </si>
  <si>
    <t>ЛС: 000718; ФИО обучающегося: Гилманов Амир Рустемович                          ; Назначение: 5а род февраль; КБК: 82100000000000003131; ОКТМО: 92701000</t>
  </si>
  <si>
    <t>ЛС: 000767; ФИО обучающегося: Гимранов Рифат Рамилевич                          ; Назначение: 5а род февраль; КБК: 82100000000000003131; ОКТМО: 92701000</t>
  </si>
  <si>
    <t>Сумма: 6827 руб. 72 коп.</t>
  </si>
  <si>
    <t>ЛС: 000823; ФИО обучающегося: Давлетов Али Радикович                            ; Назначение: 5а род февраль; КБК: 82100000000000003131; ОКТМО: 92701000</t>
  </si>
  <si>
    <t>ЛС: 000716; ФИО обучающегося: Ильичев Денис Алексеевич                          ; Назначение: 5а род февраль; КБК: 82100000000000003131; ОКТМО: 92701000</t>
  </si>
  <si>
    <t>ЛС: 000769; ФИО обучающегося: Кудинов Нил Александрович                         ; Назначение: 5а род февраль; КБК: 82100000000000003131; ОКТМО: 92701000</t>
  </si>
  <si>
    <t>ЛС: 000817; ФИО обучающегося: Минимуллин Камиль Расимович                       ; Назначение: 5а род февраль; КБК: 82100000000000003131; ОКТМО: 92701000</t>
  </si>
  <si>
    <t>ЛС: 000772; ФИО обучающегося: Муллакаев Ибрахим Фидаилевич                      ; Назначение: 5а род февраль; КБК: 82100000000000003131; ОКТМО: 92701000</t>
  </si>
  <si>
    <t>Сумма: 8214 руб. 57 коп.</t>
  </si>
  <si>
    <t>ЛС: 000788; ФИО обучающегося: Мустафин Султан Радикович                         ; Назначение: 5а род февраль; КБК: 82100000000000003131; ОКТМО: 92701000</t>
  </si>
  <si>
    <t>Сумма: 7171 руб. 21 коп.</t>
  </si>
  <si>
    <t>ЛС: 000822; ФИО обучающегося: Олудин Никита Алексеевич                          ; Назначение: 5а род февраль; КБК: 82100000000000003131; ОКТМО: 92701000</t>
  </si>
  <si>
    <t>ЛС: 000838; ФИО обучающегося: Фатхутдинов Карим Динарович                       ; Назначение: 5а род февраль; КБК: 82100000000000003131; ОКТМО: 92701000</t>
  </si>
  <si>
    <t>ЛС: 000776; ФИО обучающегося: Хаертдинов Мурат Наилевич                         ; Назначение: 5а род февраль; КБК: 82100000000000003131; ОКТМО: 92701000</t>
  </si>
  <si>
    <t>Сумма: 7986 руб. 35 коп.</t>
  </si>
  <si>
    <t>ЛС: 000818; ФИО обучающегося: Шаммасов Мансур Ренатович                         ; Назначение: 5а род февраль; КБК: 82100000000000003131; ОКТМО: 92701000</t>
  </si>
  <si>
    <t>ЛС: 000758; ФИО обучающегося: Шарафутдинов Тагир Азатович                       ; Назначение: 5а род февраль; КБК: 82100000000000003131; ОКТМО: 92701000</t>
  </si>
  <si>
    <t>ЛС: 000824; ФИО обучающегося: Яруллин Халиль Фаилевич                           ; Назначение: 5а род февраль; КБК: 82100000000000003131; ОКТМО: 92701000</t>
  </si>
  <si>
    <t>март</t>
  </si>
  <si>
    <t>5а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</si>
</sst>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8" headerRowDxfId="23" dataDxfId="21" totalsRowDxfId="19" headerRowBorderDxfId="22" tableBorderDxfId="20" dataCellStyle="Обычный 2">
  <autoFilter ref="A6:H2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4"/>
  <sheetViews>
    <sheetView workbookViewId="0">
      <selection activeCell="F2" sqref="F2:M23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396</v>
      </c>
      <c r="B2" s="90" t="s">
        <v>397</v>
      </c>
      <c r="C2" s="90" t="s">
        <v>398</v>
      </c>
      <c r="D2" s="90" t="s">
        <v>471</v>
      </c>
      <c r="E2" s="91">
        <v>2493.09</v>
      </c>
      <c r="F2" s="93" t="str">
        <f>TRIM(A2)</f>
        <v>000763</v>
      </c>
      <c r="G2" s="31" t="str">
        <f t="shared" ref="G2:G42" si="0">B2</f>
        <v xml:space="preserve">Абдрахманов Юлдаш Рафикович                       </v>
      </c>
      <c r="H2" s="31" t="str">
        <f>CONCATENATE(TRIM(C2)," ",D2)</f>
        <v>5а род март</v>
      </c>
      <c r="I2" s="92" t="s">
        <v>387</v>
      </c>
      <c r="J2" s="31">
        <v>92701000</v>
      </c>
      <c r="M2" s="31">
        <f t="shared" ref="M2:M59" si="1">E2</f>
        <v>2493.09</v>
      </c>
    </row>
    <row r="3" spans="1:13" x14ac:dyDescent="0.25">
      <c r="A3" s="90" t="s">
        <v>399</v>
      </c>
      <c r="B3" s="90" t="s">
        <v>400</v>
      </c>
      <c r="C3" s="90" t="s">
        <v>398</v>
      </c>
      <c r="D3" s="90" t="s">
        <v>471</v>
      </c>
      <c r="E3" s="91">
        <v>2492.56</v>
      </c>
      <c r="F3" s="93" t="str">
        <f t="shared" ref="F3:F62" si="2">TRIM(A3)</f>
        <v>000790</v>
      </c>
      <c r="G3" s="31" t="str">
        <f t="shared" si="0"/>
        <v xml:space="preserve">Аджигитов Ахмад Рафаэльевич                       </v>
      </c>
      <c r="H3" s="31" t="str">
        <f t="shared" ref="H3:H62" si="3">CONCATENATE(TRIM(C3)," ",D3)</f>
        <v>5а род март</v>
      </c>
      <c r="I3" s="92" t="s">
        <v>387</v>
      </c>
      <c r="J3" s="31">
        <v>92701000</v>
      </c>
      <c r="M3" s="31">
        <f t="shared" si="1"/>
        <v>2492.56</v>
      </c>
    </row>
    <row r="4" spans="1:13" x14ac:dyDescent="0.25">
      <c r="A4" s="90" t="s">
        <v>401</v>
      </c>
      <c r="B4" s="90" t="s">
        <v>402</v>
      </c>
      <c r="C4" s="90" t="s">
        <v>398</v>
      </c>
      <c r="D4" s="90" t="s">
        <v>471</v>
      </c>
      <c r="E4" s="91">
        <v>5330.44</v>
      </c>
      <c r="F4" s="93" t="str">
        <f t="shared" si="2"/>
        <v>000723</v>
      </c>
      <c r="G4" s="31" t="str">
        <f t="shared" si="0"/>
        <v xml:space="preserve">Айзатуллин Амир Эмилевич                          </v>
      </c>
      <c r="H4" s="31" t="str">
        <f t="shared" si="3"/>
        <v>5а род март</v>
      </c>
      <c r="I4" s="92" t="s">
        <v>387</v>
      </c>
      <c r="J4" s="31">
        <v>92701000</v>
      </c>
      <c r="M4" s="31">
        <f t="shared" si="1"/>
        <v>5330.44</v>
      </c>
    </row>
    <row r="5" spans="1:13" x14ac:dyDescent="0.25">
      <c r="A5" s="90" t="s">
        <v>403</v>
      </c>
      <c r="B5" s="90" t="s">
        <v>404</v>
      </c>
      <c r="C5" s="90" t="s">
        <v>398</v>
      </c>
      <c r="D5" s="90" t="s">
        <v>471</v>
      </c>
      <c r="E5" s="91">
        <v>5330.56</v>
      </c>
      <c r="F5" s="93" t="str">
        <f t="shared" si="2"/>
        <v>000820</v>
      </c>
      <c r="G5" s="31" t="str">
        <f t="shared" si="0"/>
        <v xml:space="preserve">Ахмадуллин Арслан Наилевич                        </v>
      </c>
      <c r="H5" s="31" t="str">
        <f t="shared" si="3"/>
        <v>5а род март</v>
      </c>
      <c r="I5" s="92" t="s">
        <v>387</v>
      </c>
      <c r="J5" s="31">
        <v>92701000</v>
      </c>
      <c r="M5" s="31">
        <f t="shared" si="1"/>
        <v>5330.56</v>
      </c>
    </row>
    <row r="6" spans="1:13" x14ac:dyDescent="0.25">
      <c r="A6" s="90" t="s">
        <v>439</v>
      </c>
      <c r="B6" s="90" t="s">
        <v>440</v>
      </c>
      <c r="C6" s="90" t="s">
        <v>398</v>
      </c>
      <c r="D6" s="90" t="s">
        <v>471</v>
      </c>
      <c r="E6" s="91">
        <v>2309.0700000000002</v>
      </c>
      <c r="F6" s="93" t="str">
        <f t="shared" si="2"/>
        <v>000821</v>
      </c>
      <c r="G6" s="31" t="str">
        <f t="shared" si="0"/>
        <v xml:space="preserve">Валиев Азамат Ленарович                           </v>
      </c>
      <c r="H6" s="31" t="str">
        <f t="shared" si="3"/>
        <v>5а род март</v>
      </c>
      <c r="I6" s="92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90" t="s">
        <v>405</v>
      </c>
      <c r="B7" s="90" t="s">
        <v>406</v>
      </c>
      <c r="C7" s="90" t="s">
        <v>398</v>
      </c>
      <c r="D7" s="90" t="s">
        <v>471</v>
      </c>
      <c r="E7" s="91">
        <v>2309.0700000000002</v>
      </c>
      <c r="F7" s="93" t="str">
        <f t="shared" si="2"/>
        <v>000724</v>
      </c>
      <c r="G7" s="31" t="str">
        <f t="shared" si="0"/>
        <v xml:space="preserve">Волков Дмитрий Евгеньевич                         </v>
      </c>
      <c r="H7" s="31" t="str">
        <f t="shared" si="3"/>
        <v>5а род март</v>
      </c>
      <c r="I7" s="92" t="s">
        <v>387</v>
      </c>
      <c r="J7" s="31">
        <v>92701000</v>
      </c>
      <c r="M7" s="31">
        <f t="shared" si="1"/>
        <v>2309.0700000000002</v>
      </c>
    </row>
    <row r="8" spans="1:13" x14ac:dyDescent="0.25">
      <c r="A8" s="90" t="s">
        <v>407</v>
      </c>
      <c r="B8" s="90" t="s">
        <v>408</v>
      </c>
      <c r="C8" s="90" t="s">
        <v>398</v>
      </c>
      <c r="D8" s="90" t="s">
        <v>471</v>
      </c>
      <c r="E8" s="91">
        <v>2492.56</v>
      </c>
      <c r="F8" s="93" t="str">
        <f t="shared" si="2"/>
        <v>000816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род март</v>
      </c>
      <c r="I8" s="92" t="s">
        <v>387</v>
      </c>
      <c r="J8" s="31">
        <v>92701000</v>
      </c>
      <c r="M8" s="31">
        <f t="shared" si="1"/>
        <v>2492.56</v>
      </c>
    </row>
    <row r="9" spans="1:13" x14ac:dyDescent="0.25">
      <c r="A9" s="90" t="s">
        <v>409</v>
      </c>
      <c r="B9" s="90" t="s">
        <v>410</v>
      </c>
      <c r="C9" s="90" t="s">
        <v>398</v>
      </c>
      <c r="D9" s="90" t="s">
        <v>471</v>
      </c>
      <c r="E9" s="91">
        <v>2309.0700000000002</v>
      </c>
      <c r="F9" s="93" t="str">
        <f t="shared" si="2"/>
        <v>000815</v>
      </c>
      <c r="G9" s="31" t="str">
        <f t="shared" si="0"/>
        <v xml:space="preserve">Гаранин Кирилл Андреевич                          </v>
      </c>
      <c r="H9" s="31" t="str">
        <f t="shared" si="3"/>
        <v>5а род март</v>
      </c>
      <c r="I9" s="92" t="s">
        <v>387</v>
      </c>
      <c r="J9" s="31">
        <v>92701000</v>
      </c>
      <c r="M9" s="31">
        <f t="shared" si="1"/>
        <v>2309.0700000000002</v>
      </c>
    </row>
    <row r="10" spans="1:13" x14ac:dyDescent="0.25">
      <c r="A10" s="90" t="s">
        <v>411</v>
      </c>
      <c r="B10" s="90" t="s">
        <v>412</v>
      </c>
      <c r="C10" s="90" t="s">
        <v>398</v>
      </c>
      <c r="D10" s="90" t="s">
        <v>471</v>
      </c>
      <c r="E10" s="91">
        <v>2309.0700000000002</v>
      </c>
      <c r="F10" s="93" t="str">
        <f t="shared" si="2"/>
        <v>000718</v>
      </c>
      <c r="G10" s="31" t="str">
        <f t="shared" si="0"/>
        <v xml:space="preserve">Гилманов Амир Рустемович                          </v>
      </c>
      <c r="H10" s="31" t="str">
        <f t="shared" si="3"/>
        <v>5а род март</v>
      </c>
      <c r="I10" s="92" t="s">
        <v>387</v>
      </c>
      <c r="J10" s="31">
        <v>92701000</v>
      </c>
      <c r="M10" s="31">
        <f t="shared" si="1"/>
        <v>2309.0700000000002</v>
      </c>
    </row>
    <row r="11" spans="1:13" x14ac:dyDescent="0.25">
      <c r="A11" s="90" t="s">
        <v>413</v>
      </c>
      <c r="B11" s="90" t="s">
        <v>414</v>
      </c>
      <c r="C11" s="90" t="s">
        <v>398</v>
      </c>
      <c r="D11" s="90" t="s">
        <v>471</v>
      </c>
      <c r="E11" s="91">
        <v>2309.0700000000002</v>
      </c>
      <c r="F11" s="93" t="str">
        <f t="shared" si="2"/>
        <v>000767</v>
      </c>
      <c r="G11" s="31" t="str">
        <f t="shared" si="0"/>
        <v xml:space="preserve">Гимранов Рифат Рамилевич                          </v>
      </c>
      <c r="H11" s="31" t="str">
        <f t="shared" si="3"/>
        <v>5а род март</v>
      </c>
      <c r="I11" s="92" t="s">
        <v>387</v>
      </c>
      <c r="J11" s="31">
        <v>92701000</v>
      </c>
      <c r="M11" s="31">
        <f t="shared" si="1"/>
        <v>2309.0700000000002</v>
      </c>
    </row>
    <row r="12" spans="1:13" x14ac:dyDescent="0.25">
      <c r="A12" s="90" t="s">
        <v>415</v>
      </c>
      <c r="B12" s="90" t="s">
        <v>416</v>
      </c>
      <c r="C12" s="90" t="s">
        <v>398</v>
      </c>
      <c r="D12" s="90" t="s">
        <v>471</v>
      </c>
      <c r="E12" s="91">
        <v>2309.0700000000002</v>
      </c>
      <c r="F12" s="93" t="str">
        <f t="shared" si="2"/>
        <v>000823</v>
      </c>
      <c r="G12" s="31" t="str">
        <f t="shared" si="0"/>
        <v xml:space="preserve">Давлетов Али Радикович                            </v>
      </c>
      <c r="H12" s="31" t="str">
        <f t="shared" si="3"/>
        <v>5а род март</v>
      </c>
      <c r="I12" s="92" t="s">
        <v>387</v>
      </c>
      <c r="J12" s="31">
        <v>92701000</v>
      </c>
      <c r="M12" s="31">
        <f t="shared" si="1"/>
        <v>2309.0700000000002</v>
      </c>
    </row>
    <row r="13" spans="1:13" x14ac:dyDescent="0.25">
      <c r="A13" s="90" t="s">
        <v>417</v>
      </c>
      <c r="B13" s="90" t="s">
        <v>418</v>
      </c>
      <c r="C13" s="90" t="s">
        <v>398</v>
      </c>
      <c r="D13" s="90" t="s">
        <v>471</v>
      </c>
      <c r="E13" s="91">
        <v>2492.56</v>
      </c>
      <c r="F13" s="93" t="str">
        <f t="shared" si="2"/>
        <v>000716</v>
      </c>
      <c r="G13" s="31" t="str">
        <f t="shared" si="0"/>
        <v xml:space="preserve">Ильичев Денис Алексеевич                          </v>
      </c>
      <c r="H13" s="31" t="str">
        <f t="shared" si="3"/>
        <v>5а род март</v>
      </c>
      <c r="I13" s="92" t="s">
        <v>387</v>
      </c>
      <c r="J13" s="31">
        <v>92701000</v>
      </c>
      <c r="M13" s="31">
        <f t="shared" si="1"/>
        <v>2492.56</v>
      </c>
    </row>
    <row r="14" spans="1:13" x14ac:dyDescent="0.25">
      <c r="A14" s="90" t="s">
        <v>419</v>
      </c>
      <c r="B14" s="90" t="s">
        <v>420</v>
      </c>
      <c r="C14" s="90" t="s">
        <v>398</v>
      </c>
      <c r="D14" s="90" t="s">
        <v>471</v>
      </c>
      <c r="E14" s="91">
        <v>2493.44</v>
      </c>
      <c r="F14" s="93" t="str">
        <f t="shared" si="2"/>
        <v>000769</v>
      </c>
      <c r="G14" s="31" t="str">
        <f t="shared" si="0"/>
        <v xml:space="preserve">Кудинов Нил Александрович                         </v>
      </c>
      <c r="H14" s="31" t="str">
        <f t="shared" si="3"/>
        <v>5а род март</v>
      </c>
      <c r="I14" s="92" t="s">
        <v>387</v>
      </c>
      <c r="J14" s="31">
        <v>92701000</v>
      </c>
      <c r="M14" s="31">
        <f t="shared" si="1"/>
        <v>2493.44</v>
      </c>
    </row>
    <row r="15" spans="1:13" x14ac:dyDescent="0.25">
      <c r="A15" s="90" t="s">
        <v>421</v>
      </c>
      <c r="B15" s="90" t="s">
        <v>422</v>
      </c>
      <c r="C15" s="90" t="s">
        <v>398</v>
      </c>
      <c r="D15" s="90" t="s">
        <v>471</v>
      </c>
      <c r="E15" s="91">
        <v>2492.56</v>
      </c>
      <c r="F15" s="93" t="str">
        <f t="shared" si="2"/>
        <v>000817</v>
      </c>
      <c r="G15" s="31" t="str">
        <f t="shared" si="0"/>
        <v xml:space="preserve">Минимуллин Камиль Расимович                       </v>
      </c>
      <c r="H15" s="31" t="str">
        <f t="shared" si="3"/>
        <v>5а род март</v>
      </c>
      <c r="I15" s="92" t="s">
        <v>387</v>
      </c>
      <c r="J15" s="31">
        <v>92701000</v>
      </c>
      <c r="M15" s="31">
        <f t="shared" si="1"/>
        <v>2492.56</v>
      </c>
    </row>
    <row r="16" spans="1:13" x14ac:dyDescent="0.25">
      <c r="A16" s="90" t="s">
        <v>423</v>
      </c>
      <c r="B16" s="90" t="s">
        <v>424</v>
      </c>
      <c r="C16" s="90" t="s">
        <v>398</v>
      </c>
      <c r="D16" s="90" t="s">
        <v>471</v>
      </c>
      <c r="E16" s="91">
        <v>10707.13</v>
      </c>
      <c r="F16" s="93" t="str">
        <f t="shared" si="2"/>
        <v>000772</v>
      </c>
      <c r="G16" s="31" t="str">
        <f t="shared" si="0"/>
        <v xml:space="preserve">Муллакаев Ибрахим Фидаилевич                      </v>
      </c>
      <c r="H16" s="31" t="str">
        <f t="shared" si="3"/>
        <v>5а род март</v>
      </c>
      <c r="I16" s="92" t="s">
        <v>387</v>
      </c>
      <c r="J16" s="31">
        <v>92701000</v>
      </c>
      <c r="M16" s="31">
        <f t="shared" si="1"/>
        <v>10707.13</v>
      </c>
    </row>
    <row r="17" spans="1:13" x14ac:dyDescent="0.25">
      <c r="A17" s="90" t="s">
        <v>425</v>
      </c>
      <c r="B17" s="90" t="s">
        <v>426</v>
      </c>
      <c r="C17" s="90" t="s">
        <v>398</v>
      </c>
      <c r="D17" s="90" t="s">
        <v>471</v>
      </c>
      <c r="E17" s="91">
        <v>2309.0700000000002</v>
      </c>
      <c r="F17" s="93" t="str">
        <f t="shared" si="2"/>
        <v>000788</v>
      </c>
      <c r="G17" s="31" t="str">
        <f t="shared" si="0"/>
        <v xml:space="preserve">Мустафин Султан Радикович                         </v>
      </c>
      <c r="H17" s="31" t="str">
        <f t="shared" si="3"/>
        <v>5а род март</v>
      </c>
      <c r="I17" s="92" t="s">
        <v>387</v>
      </c>
      <c r="J17" s="31">
        <v>92701000</v>
      </c>
      <c r="M17" s="31">
        <f t="shared" si="1"/>
        <v>2309.0700000000002</v>
      </c>
    </row>
    <row r="18" spans="1:13" x14ac:dyDescent="0.25">
      <c r="A18" s="90" t="s">
        <v>427</v>
      </c>
      <c r="B18" s="90" t="s">
        <v>428</v>
      </c>
      <c r="C18" s="90" t="s">
        <v>398</v>
      </c>
      <c r="D18" s="90" t="s">
        <v>471</v>
      </c>
      <c r="E18" s="91">
        <v>2309.0700000000002</v>
      </c>
      <c r="F18" s="93" t="str">
        <f t="shared" si="2"/>
        <v>000822</v>
      </c>
      <c r="G18" s="31" t="str">
        <f t="shared" si="0"/>
        <v xml:space="preserve">Олудин Никита Алексеевич                          </v>
      </c>
      <c r="H18" s="31" t="str">
        <f t="shared" si="3"/>
        <v>5а род март</v>
      </c>
      <c r="I18" s="92" t="s">
        <v>387</v>
      </c>
      <c r="J18" s="31">
        <v>92701000</v>
      </c>
      <c r="M18" s="31">
        <f t="shared" si="1"/>
        <v>2309.0700000000002</v>
      </c>
    </row>
    <row r="19" spans="1:13" x14ac:dyDescent="0.25">
      <c r="A19" s="90" t="s">
        <v>429</v>
      </c>
      <c r="B19" s="90" t="s">
        <v>430</v>
      </c>
      <c r="C19" s="90" t="s">
        <v>398</v>
      </c>
      <c r="D19" s="90" t="s">
        <v>471</v>
      </c>
      <c r="E19" s="91">
        <v>2492.56</v>
      </c>
      <c r="F19" s="93" t="str">
        <f t="shared" si="2"/>
        <v>000838</v>
      </c>
      <c r="G19" s="31" t="str">
        <f t="shared" si="0"/>
        <v xml:space="preserve">Фатхутдинов Карим Динарович                       </v>
      </c>
      <c r="H19" s="31" t="str">
        <f t="shared" si="3"/>
        <v>5а род март</v>
      </c>
      <c r="I19" s="92" t="s">
        <v>387</v>
      </c>
      <c r="J19" s="31">
        <v>92701000</v>
      </c>
      <c r="M19" s="31">
        <f t="shared" si="1"/>
        <v>2492.56</v>
      </c>
    </row>
    <row r="20" spans="1:13" x14ac:dyDescent="0.25">
      <c r="A20" s="90" t="s">
        <v>431</v>
      </c>
      <c r="B20" s="90" t="s">
        <v>432</v>
      </c>
      <c r="C20" s="90" t="s">
        <v>398</v>
      </c>
      <c r="D20" s="90" t="s">
        <v>471</v>
      </c>
      <c r="E20" s="91">
        <v>2492.56</v>
      </c>
      <c r="F20" s="93" t="str">
        <f t="shared" si="2"/>
        <v>000776</v>
      </c>
      <c r="G20" s="31" t="str">
        <f t="shared" si="0"/>
        <v xml:space="preserve">Хаертдинов Мурат Наилевич                         </v>
      </c>
      <c r="H20" s="31" t="str">
        <f t="shared" si="3"/>
        <v>5а род март</v>
      </c>
      <c r="I20" s="92" t="s">
        <v>387</v>
      </c>
      <c r="J20" s="31">
        <v>92701000</v>
      </c>
      <c r="M20" s="31">
        <f t="shared" si="1"/>
        <v>2492.56</v>
      </c>
    </row>
    <row r="21" spans="1:13" x14ac:dyDescent="0.25">
      <c r="A21" s="90" t="s">
        <v>433</v>
      </c>
      <c r="B21" s="90" t="s">
        <v>434</v>
      </c>
      <c r="C21" s="90" t="s">
        <v>398</v>
      </c>
      <c r="D21" s="90" t="s">
        <v>471</v>
      </c>
      <c r="E21" s="91">
        <v>2309.0700000000002</v>
      </c>
      <c r="F21" s="93" t="str">
        <f t="shared" si="2"/>
        <v>000818</v>
      </c>
      <c r="G21" s="31" t="str">
        <f t="shared" si="0"/>
        <v xml:space="preserve">Шаммасов Мансур Ренатович                         </v>
      </c>
      <c r="H21" s="31" t="str">
        <f t="shared" si="3"/>
        <v>5а род март</v>
      </c>
      <c r="I21" s="92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90" t="s">
        <v>435</v>
      </c>
      <c r="B22" s="90" t="s">
        <v>436</v>
      </c>
      <c r="C22" s="90" t="s">
        <v>398</v>
      </c>
      <c r="D22" s="90" t="s">
        <v>471</v>
      </c>
      <c r="E22" s="91">
        <v>2309.0700000000002</v>
      </c>
      <c r="F22" s="93" t="str">
        <f t="shared" si="2"/>
        <v>000758</v>
      </c>
      <c r="G22" s="31" t="str">
        <f t="shared" si="0"/>
        <v xml:space="preserve">Шарафутдинов Тагир Азатович                       </v>
      </c>
      <c r="H22" s="31" t="str">
        <f t="shared" si="3"/>
        <v>5а род март</v>
      </c>
      <c r="I22" s="92" t="s">
        <v>387</v>
      </c>
      <c r="J22" s="31">
        <v>92701000</v>
      </c>
      <c r="M22" s="31">
        <f t="shared" si="1"/>
        <v>2309.0700000000002</v>
      </c>
    </row>
    <row r="23" spans="1:13" x14ac:dyDescent="0.25">
      <c r="A23" s="90" t="s">
        <v>437</v>
      </c>
      <c r="B23" s="90" t="s">
        <v>438</v>
      </c>
      <c r="C23" s="90" t="s">
        <v>398</v>
      </c>
      <c r="D23" s="90" t="s">
        <v>471</v>
      </c>
      <c r="E23" s="91">
        <v>2309.0700000000002</v>
      </c>
      <c r="F23" s="93" t="str">
        <f t="shared" si="2"/>
        <v>000824</v>
      </c>
      <c r="G23" s="31" t="str">
        <f t="shared" si="0"/>
        <v xml:space="preserve">Яруллин Халиль Фаилевич                           </v>
      </c>
      <c r="H23" s="31" t="str">
        <f t="shared" si="3"/>
        <v>5а род март</v>
      </c>
      <c r="I23" s="92" t="s">
        <v>387</v>
      </c>
      <c r="J23" s="31">
        <v>92701000</v>
      </c>
      <c r="M23" s="31">
        <f t="shared" si="1"/>
        <v>2309.0700000000002</v>
      </c>
    </row>
    <row r="24" spans="1:13" x14ac:dyDescent="0.25">
      <c r="F24" s="93" t="str">
        <f t="shared" si="2"/>
        <v/>
      </c>
      <c r="G24" s="31">
        <f t="shared" si="0"/>
        <v>0</v>
      </c>
      <c r="H24" s="31" t="str">
        <f t="shared" si="3"/>
        <v xml:space="preserve"> </v>
      </c>
      <c r="I24" s="92" t="s">
        <v>387</v>
      </c>
      <c r="J24" s="31">
        <v>92701000</v>
      </c>
      <c r="M24" s="31">
        <f t="shared" si="1"/>
        <v>0</v>
      </c>
    </row>
    <row r="25" spans="1:13" x14ac:dyDescent="0.25">
      <c r="F25" s="93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2" t="s">
        <v>387</v>
      </c>
      <c r="J25" s="31">
        <v>92701000</v>
      </c>
      <c r="M25" s="31">
        <f t="shared" si="1"/>
        <v>0</v>
      </c>
    </row>
    <row r="26" spans="1:13" x14ac:dyDescent="0.25">
      <c r="F26" s="93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2" t="s">
        <v>387</v>
      </c>
      <c r="J26" s="31">
        <v>92701000</v>
      </c>
      <c r="M26" s="31">
        <f t="shared" si="1"/>
        <v>0</v>
      </c>
    </row>
    <row r="27" spans="1:13" x14ac:dyDescent="0.25">
      <c r="F27" s="93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3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3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3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3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3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3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3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3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3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3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3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3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3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3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3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3" t="str">
        <f t="shared" si="2"/>
        <v/>
      </c>
      <c r="G43" s="31">
        <f t="shared" ref="G43:G106" si="4">B43</f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3" t="str">
        <f t="shared" si="2"/>
        <v/>
      </c>
      <c r="G44" s="31">
        <f t="shared" si="4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3" t="str">
        <f t="shared" si="2"/>
        <v/>
      </c>
      <c r="G45" s="31">
        <f t="shared" si="4"/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3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3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3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3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3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3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3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3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3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3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3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3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3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3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3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ref="M60:M123" si="5">E60</f>
        <v>0</v>
      </c>
    </row>
    <row r="61" spans="6:13" x14ac:dyDescent="0.25">
      <c r="F61" s="93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ref="F63:F126" si="6">TRIM(A63)</f>
        <v/>
      </c>
      <c r="G63" s="31">
        <f t="shared" si="4"/>
        <v>0</v>
      </c>
      <c r="H63" s="31" t="str">
        <f t="shared" ref="H63:H126" si="7">CONCATENATE(TRIM(C63)," ",D63)</f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3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3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3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3" t="str">
        <f t="shared" si="6"/>
        <v/>
      </c>
      <c r="G107" s="31">
        <f t="shared" ref="G107:G170" si="8">B107</f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3" t="str">
        <f t="shared" si="6"/>
        <v/>
      </c>
      <c r="G108" s="31">
        <f t="shared" si="8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3" t="str">
        <f t="shared" si="6"/>
        <v/>
      </c>
      <c r="G109" s="31">
        <f t="shared" si="8"/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3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3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3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3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3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3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3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3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3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3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3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3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3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3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3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ref="M124:M187" si="9">E124</f>
        <v>0</v>
      </c>
    </row>
    <row r="125" spans="6:13" x14ac:dyDescent="0.25">
      <c r="F125" s="93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ref="F127:F190" si="10">TRIM(A127)</f>
        <v/>
      </c>
      <c r="G127" s="31">
        <f t="shared" si="8"/>
        <v>0</v>
      </c>
      <c r="H127" s="31" t="str">
        <f t="shared" ref="H127:H190" si="11">CONCATENATE(TRIM(C127)," ",D127)</f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3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3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3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3" t="str">
        <f t="shared" si="10"/>
        <v/>
      </c>
      <c r="G171" s="31">
        <f t="shared" ref="G171:G234" si="12">B171</f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3" t="str">
        <f t="shared" si="10"/>
        <v/>
      </c>
      <c r="G172" s="31">
        <f t="shared" si="12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3" t="str">
        <f t="shared" si="10"/>
        <v/>
      </c>
      <c r="G173" s="31">
        <f t="shared" si="12"/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3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3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3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3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3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3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3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3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3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3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3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3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3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3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3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ref="M188:M251" si="13">E188</f>
        <v>0</v>
      </c>
    </row>
    <row r="189" spans="6:13" x14ac:dyDescent="0.25">
      <c r="F189" s="93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ref="F191:F254" si="14">TRIM(A191)</f>
        <v/>
      </c>
      <c r="G191" s="31">
        <f t="shared" si="12"/>
        <v>0</v>
      </c>
      <c r="H191" s="31" t="str">
        <f t="shared" ref="H191:H254" si="15">CONCATENATE(TRIM(C191)," ",D191)</f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3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3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3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3" t="str">
        <f t="shared" si="14"/>
        <v/>
      </c>
      <c r="G235" s="31">
        <f t="shared" ref="G235:G298" si="16">B235</f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3" t="str">
        <f t="shared" si="14"/>
        <v/>
      </c>
      <c r="G236" s="31">
        <f t="shared" si="16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3" t="str">
        <f t="shared" si="14"/>
        <v/>
      </c>
      <c r="G237" s="31">
        <f t="shared" si="16"/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3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3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3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3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3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3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3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3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3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3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3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3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3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3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3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ref="M252:M315" si="17">E252</f>
        <v>0</v>
      </c>
    </row>
    <row r="253" spans="6:13" x14ac:dyDescent="0.25">
      <c r="F253" s="93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ref="F255:F318" si="18">TRIM(A255)</f>
        <v/>
      </c>
      <c r="G255" s="31">
        <f t="shared" si="16"/>
        <v>0</v>
      </c>
      <c r="H255" s="31" t="str">
        <f t="shared" ref="H255:H318" si="19">CONCATENATE(TRIM(C255)," ",D255)</f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3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3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3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3" t="str">
        <f t="shared" si="18"/>
        <v/>
      </c>
      <c r="G299" s="31">
        <f t="shared" ref="G299:G362" si="20">B299</f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3" t="str">
        <f t="shared" si="18"/>
        <v/>
      </c>
      <c r="G300" s="31">
        <f t="shared" si="20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3" t="str">
        <f t="shared" si="18"/>
        <v/>
      </c>
      <c r="G301" s="31">
        <f t="shared" si="20"/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3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3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3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3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3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3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3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3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3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3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3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3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3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3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3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ref="M316:M379" si="21">E316</f>
        <v>0</v>
      </c>
    </row>
    <row r="317" spans="6:13" x14ac:dyDescent="0.25">
      <c r="F317" s="93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ref="F319:F382" si="22">TRIM(A319)</f>
        <v/>
      </c>
      <c r="G319" s="31">
        <f t="shared" si="20"/>
        <v>0</v>
      </c>
      <c r="H319" s="31" t="str">
        <f t="shared" ref="H319:H382" si="23">CONCATENATE(TRIM(C319)," ",D319)</f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3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3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3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3" t="str">
        <f t="shared" si="22"/>
        <v/>
      </c>
      <c r="G363" s="31">
        <f t="shared" ref="G363:G426" si="24">B363</f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3" t="str">
        <f t="shared" si="22"/>
        <v/>
      </c>
      <c r="G364" s="31">
        <f t="shared" si="24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3" t="str">
        <f t="shared" si="22"/>
        <v/>
      </c>
      <c r="G365" s="31">
        <f t="shared" si="24"/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3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3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3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3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3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3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3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3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3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3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3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3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3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3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3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ref="M380:M443" si="25">E380</f>
        <v>0</v>
      </c>
    </row>
    <row r="381" spans="6:13" x14ac:dyDescent="0.25">
      <c r="F381" s="93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ref="F383:F446" si="26">TRIM(A383)</f>
        <v/>
      </c>
      <c r="G383" s="31">
        <f t="shared" si="24"/>
        <v>0</v>
      </c>
      <c r="H383" s="31" t="str">
        <f t="shared" ref="H383:H446" si="27">CONCATENATE(TRIM(C383)," ",D383)</f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3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3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3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3" t="str">
        <f t="shared" si="26"/>
        <v/>
      </c>
      <c r="G427" s="31">
        <f t="shared" ref="G427:G490" si="28">B427</f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3" t="str">
        <f t="shared" si="26"/>
        <v/>
      </c>
      <c r="G428" s="31">
        <f t="shared" si="28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3" t="str">
        <f t="shared" si="26"/>
        <v/>
      </c>
      <c r="G429" s="31">
        <f t="shared" si="28"/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3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3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3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3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3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3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3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3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3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3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3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3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3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3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3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ref="M444:M507" si="29">E444</f>
        <v>0</v>
      </c>
    </row>
    <row r="445" spans="6:13" x14ac:dyDescent="0.25">
      <c r="F445" s="93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ref="F447:F510" si="30">TRIM(A447)</f>
        <v/>
      </c>
      <c r="G447" s="31">
        <f t="shared" si="28"/>
        <v>0</v>
      </c>
      <c r="H447" s="31" t="str">
        <f t="shared" ref="H447:H510" si="31">CONCATENATE(TRIM(C447)," ",D447)</f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3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3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3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3" t="str">
        <f t="shared" si="30"/>
        <v/>
      </c>
      <c r="G491" s="31">
        <f t="shared" ref="G491:G554" si="32">B491</f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3" t="str">
        <f t="shared" si="30"/>
        <v/>
      </c>
      <c r="G492" s="31">
        <f t="shared" si="32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3" t="str">
        <f t="shared" si="30"/>
        <v/>
      </c>
      <c r="G493" s="31">
        <f t="shared" si="32"/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3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3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3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3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3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3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3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3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3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3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3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3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3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3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3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ref="M508:M571" si="33">E508</f>
        <v>0</v>
      </c>
    </row>
    <row r="509" spans="6:13" x14ac:dyDescent="0.25">
      <c r="F509" s="93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ref="F511:F574" si="34">TRIM(A511)</f>
        <v/>
      </c>
      <c r="G511" s="31">
        <f t="shared" si="32"/>
        <v>0</v>
      </c>
      <c r="H511" s="31" t="str">
        <f t="shared" ref="H511:H574" si="35">CONCATENATE(TRIM(C511)," ",D511)</f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3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3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3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3" t="str">
        <f t="shared" si="34"/>
        <v/>
      </c>
      <c r="G555" s="31">
        <f t="shared" ref="G555:G618" si="36">B555</f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3" t="str">
        <f t="shared" si="34"/>
        <v/>
      </c>
      <c r="G556" s="31">
        <f t="shared" si="36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3" t="str">
        <f t="shared" si="34"/>
        <v/>
      </c>
      <c r="G557" s="31">
        <f t="shared" si="36"/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3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3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3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3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3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3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3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3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3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3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3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3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3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3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3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ref="M572:M635" si="37">E572</f>
        <v>0</v>
      </c>
    </row>
    <row r="573" spans="6:13" x14ac:dyDescent="0.25">
      <c r="F573" s="93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ref="F575:F638" si="38">TRIM(A575)</f>
        <v/>
      </c>
      <c r="G575" s="31">
        <f t="shared" si="36"/>
        <v>0</v>
      </c>
      <c r="H575" s="31" t="str">
        <f t="shared" ref="H575:H638" si="39">CONCATENATE(TRIM(C575)," ",D575)</f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3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3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3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3" t="str">
        <f t="shared" si="38"/>
        <v/>
      </c>
      <c r="G619" s="31">
        <f t="shared" ref="G619:G682" si="40">B619</f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3" t="str">
        <f t="shared" si="38"/>
        <v/>
      </c>
      <c r="G620" s="31">
        <f t="shared" si="40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3" t="str">
        <f t="shared" si="38"/>
        <v/>
      </c>
      <c r="G621" s="31">
        <f t="shared" si="40"/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3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3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3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3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3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3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3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3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3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3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3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3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3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3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3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ref="M636:M699" si="41">E636</f>
        <v>0</v>
      </c>
    </row>
    <row r="637" spans="6:13" x14ac:dyDescent="0.25">
      <c r="F637" s="93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ref="F639:F702" si="42">TRIM(A639)</f>
        <v/>
      </c>
      <c r="G639" s="31">
        <f t="shared" si="40"/>
        <v>0</v>
      </c>
      <c r="H639" s="31" t="str">
        <f t="shared" ref="H639:H702" si="43">CONCATENATE(TRIM(C639)," ",D639)</f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3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3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3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3" t="str">
        <f t="shared" si="42"/>
        <v/>
      </c>
      <c r="G683" s="31">
        <f t="shared" ref="G683:G746" si="44">B683</f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3" t="str">
        <f t="shared" si="42"/>
        <v/>
      </c>
      <c r="G684" s="31">
        <f t="shared" si="44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3" t="str">
        <f t="shared" si="42"/>
        <v/>
      </c>
      <c r="G685" s="31">
        <f t="shared" si="44"/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3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3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3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3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3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3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3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3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3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3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3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3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3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3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3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ref="M700:M763" si="45">E700</f>
        <v>0</v>
      </c>
    </row>
    <row r="701" spans="6:13" x14ac:dyDescent="0.25">
      <c r="F701" s="93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ref="F703:F766" si="46">TRIM(A703)</f>
        <v/>
      </c>
      <c r="G703" s="31">
        <f t="shared" si="44"/>
        <v>0</v>
      </c>
      <c r="H703" s="31" t="str">
        <f t="shared" ref="H703:H766" si="47">CONCATENATE(TRIM(C703)," ",D703)</f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3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3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3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3" t="str">
        <f t="shared" si="46"/>
        <v/>
      </c>
      <c r="G747" s="31">
        <f t="shared" ref="G747:G810" si="48">B747</f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3" t="str">
        <f t="shared" si="46"/>
        <v/>
      </c>
      <c r="G748" s="31">
        <f t="shared" si="48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3" t="str">
        <f t="shared" si="46"/>
        <v/>
      </c>
      <c r="G749" s="31">
        <f t="shared" si="48"/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3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3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3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3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3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3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3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3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3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3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3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3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3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3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3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ref="M764:M827" si="49">E764</f>
        <v>0</v>
      </c>
    </row>
    <row r="765" spans="6:13" x14ac:dyDescent="0.25">
      <c r="F765" s="93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ref="F767:F830" si="50">TRIM(A767)</f>
        <v/>
      </c>
      <c r="G767" s="31">
        <f t="shared" si="48"/>
        <v>0</v>
      </c>
      <c r="H767" s="31" t="str">
        <f t="shared" ref="H767:H830" si="51">CONCATENATE(TRIM(C767)," ",D767)</f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3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3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3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3" t="str">
        <f t="shared" si="50"/>
        <v/>
      </c>
      <c r="G811" s="31">
        <f t="shared" ref="G811:G874" si="52">B811</f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3" t="str">
        <f t="shared" si="50"/>
        <v/>
      </c>
      <c r="G812" s="31">
        <f t="shared" si="52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3" t="str">
        <f t="shared" si="50"/>
        <v/>
      </c>
      <c r="G813" s="31">
        <f t="shared" si="52"/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3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3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3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3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3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3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3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3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3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3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3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3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3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3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3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ref="M828:M891" si="53">E828</f>
        <v>0</v>
      </c>
    </row>
    <row r="829" spans="6:13" x14ac:dyDescent="0.25">
      <c r="F829" s="93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ref="F831:F894" si="54">TRIM(A831)</f>
        <v/>
      </c>
      <c r="G831" s="31">
        <f t="shared" si="52"/>
        <v>0</v>
      </c>
      <c r="H831" s="31" t="str">
        <f t="shared" ref="H831:H894" si="55">CONCATENATE(TRIM(C831)," ",D831)</f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3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3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3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3" t="str">
        <f t="shared" si="54"/>
        <v/>
      </c>
      <c r="G875" s="31">
        <f t="shared" ref="G875:G938" si="56">B875</f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3" t="str">
        <f t="shared" si="54"/>
        <v/>
      </c>
      <c r="G876" s="31">
        <f t="shared" si="56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3" t="str">
        <f t="shared" si="54"/>
        <v/>
      </c>
      <c r="G877" s="31">
        <f t="shared" si="56"/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3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3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3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3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3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3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3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3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3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3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3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3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3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3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3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ref="M892:M955" si="57">E892</f>
        <v>0</v>
      </c>
    </row>
    <row r="893" spans="6:13" x14ac:dyDescent="0.25">
      <c r="F893" s="93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ref="F895:F958" si="58">TRIM(A895)</f>
        <v/>
      </c>
      <c r="G895" s="31">
        <f t="shared" si="56"/>
        <v>0</v>
      </c>
      <c r="H895" s="31" t="str">
        <f t="shared" ref="H895:H958" si="59">CONCATENATE(TRIM(C895)," ",D895)</f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3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3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3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3" t="str">
        <f t="shared" si="58"/>
        <v/>
      </c>
      <c r="G939" s="31">
        <f t="shared" ref="G939:G1002" si="60">B939</f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3" t="str">
        <f t="shared" si="58"/>
        <v/>
      </c>
      <c r="G940" s="31">
        <f t="shared" si="60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3" t="str">
        <f t="shared" si="58"/>
        <v/>
      </c>
      <c r="G941" s="31">
        <f t="shared" si="60"/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3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3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3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3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3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3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3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3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3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3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3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3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3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3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3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ref="M956:M1019" si="61">E956</f>
        <v>0</v>
      </c>
    </row>
    <row r="957" spans="6:13" x14ac:dyDescent="0.25">
      <c r="F957" s="93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ref="F959:F1022" si="62">TRIM(A959)</f>
        <v/>
      </c>
      <c r="G959" s="31">
        <f t="shared" si="60"/>
        <v>0</v>
      </c>
      <c r="H959" s="31" t="str">
        <f t="shared" ref="H959:H1022" si="63">CONCATENATE(TRIM(C959)," ",D959)</f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3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3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3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3" t="str">
        <f t="shared" si="62"/>
        <v/>
      </c>
      <c r="G1003" s="31">
        <f t="shared" ref="G1003:G1066" si="64">B1003</f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3" t="str">
        <f t="shared" si="62"/>
        <v/>
      </c>
      <c r="G1004" s="31">
        <f t="shared" si="64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3" t="str">
        <f t="shared" si="62"/>
        <v/>
      </c>
      <c r="G1005" s="31">
        <f t="shared" si="64"/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3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3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3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3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3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3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3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3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3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3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3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3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3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3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3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ref="M1020:M1083" si="65">E1020</f>
        <v>0</v>
      </c>
    </row>
    <row r="1021" spans="6:13" x14ac:dyDescent="0.25">
      <c r="F1021" s="93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ref="F1023:F1086" si="66">TRIM(A1023)</f>
        <v/>
      </c>
      <c r="G1023" s="31">
        <f t="shared" si="64"/>
        <v>0</v>
      </c>
      <c r="H1023" s="31" t="str">
        <f t="shared" ref="H1023:H1086" si="67">CONCATENATE(TRIM(C1023)," ",D1023)</f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3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3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3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3" t="str">
        <f t="shared" si="66"/>
        <v/>
      </c>
      <c r="G1067" s="31">
        <f t="shared" ref="G1067:G1130" si="68">B1067</f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3" t="str">
        <f t="shared" si="66"/>
        <v/>
      </c>
      <c r="G1068" s="31">
        <f t="shared" si="68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3" t="str">
        <f t="shared" si="66"/>
        <v/>
      </c>
      <c r="G1069" s="31">
        <f t="shared" si="68"/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3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3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3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3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3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3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3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3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3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3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3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3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3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3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3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ref="M1084:M1147" si="69">E1084</f>
        <v>0</v>
      </c>
    </row>
    <row r="1085" spans="6:13" x14ac:dyDescent="0.25">
      <c r="F1085" s="93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ref="F1087:F1150" si="70">TRIM(A1087)</f>
        <v/>
      </c>
      <c r="G1087" s="31">
        <f t="shared" si="68"/>
        <v>0</v>
      </c>
      <c r="H1087" s="31" t="str">
        <f t="shared" ref="H1087:H1150" si="71">CONCATENATE(TRIM(C1087)," ",D1087)</f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3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3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3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3" t="str">
        <f t="shared" si="70"/>
        <v/>
      </c>
      <c r="G1131" s="31">
        <f t="shared" ref="G1131:G1194" si="72">B1131</f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3" t="str">
        <f t="shared" si="70"/>
        <v/>
      </c>
      <c r="G1132" s="31">
        <f t="shared" si="72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3" t="str">
        <f t="shared" si="70"/>
        <v/>
      </c>
      <c r="G1133" s="31">
        <f t="shared" si="72"/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3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3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3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3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3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3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3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3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3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3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3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3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3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3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3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ref="M1148:M1211" si="73">E1148</f>
        <v>0</v>
      </c>
    </row>
    <row r="1149" spans="6:13" x14ac:dyDescent="0.25">
      <c r="F1149" s="93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ref="F1151:F1214" si="74">TRIM(A1151)</f>
        <v/>
      </c>
      <c r="G1151" s="31">
        <f t="shared" si="72"/>
        <v>0</v>
      </c>
      <c r="H1151" s="31" t="str">
        <f t="shared" ref="H1151:H1214" si="75">CONCATENATE(TRIM(C1151)," ",D1151)</f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3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3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3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3" t="str">
        <f t="shared" si="74"/>
        <v/>
      </c>
      <c r="G1195" s="31">
        <f t="shared" ref="G1195:G1258" si="76">B1195</f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3" t="str">
        <f t="shared" si="74"/>
        <v/>
      </c>
      <c r="G1196" s="31">
        <f t="shared" si="76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3" t="str">
        <f t="shared" si="74"/>
        <v/>
      </c>
      <c r="G1197" s="31">
        <f t="shared" si="76"/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3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3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3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3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3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3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3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3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3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3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3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3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3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3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3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ref="M1212:M1275" si="77">E1212</f>
        <v>0</v>
      </c>
    </row>
    <row r="1213" spans="6:13" x14ac:dyDescent="0.25">
      <c r="F1213" s="93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ref="F1215:F1278" si="78">TRIM(A1215)</f>
        <v/>
      </c>
      <c r="G1215" s="31">
        <f t="shared" si="76"/>
        <v>0</v>
      </c>
      <c r="H1215" s="31" t="str">
        <f t="shared" ref="H1215:H1278" si="79">CONCATENATE(TRIM(C1215)," ",D1215)</f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3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3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3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3" t="str">
        <f t="shared" si="78"/>
        <v/>
      </c>
      <c r="G1259" s="31">
        <f t="shared" ref="G1259:G1293" si="80">B1259</f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3" t="str">
        <f t="shared" si="78"/>
        <v/>
      </c>
      <c r="G1260" s="31">
        <f t="shared" si="80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3" t="str">
        <f t="shared" si="78"/>
        <v/>
      </c>
      <c r="G1261" s="31">
        <f t="shared" si="80"/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3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3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3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3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3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3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3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3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3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3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3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3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3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3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3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ref="M1276:M1293" si="81">E1276</f>
        <v>0</v>
      </c>
    </row>
    <row r="1277" spans="6:13" x14ac:dyDescent="0.25">
      <c r="F1277" s="93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81"/>
        <v>0</v>
      </c>
    </row>
    <row r="1278" spans="6:13" x14ac:dyDescent="0.25">
      <c r="F1278" s="93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si="81"/>
        <v>0</v>
      </c>
    </row>
    <row r="1279" spans="6:13" x14ac:dyDescent="0.25">
      <c r="F1279" s="93" t="str">
        <f t="shared" ref="F1279:F1293" si="82">TRIM(A1279)</f>
        <v/>
      </c>
      <c r="G1279" s="31">
        <f t="shared" si="80"/>
        <v>0</v>
      </c>
      <c r="H1279" s="31" t="str">
        <f t="shared" ref="H1279:H1304" si="83">CONCATENATE(TRIM(C1279)," ",D1279)</f>
        <v xml:space="preserve"> </v>
      </c>
      <c r="I1279" s="92" t="s">
        <v>387</v>
      </c>
      <c r="J1279" s="31">
        <v>92701000</v>
      </c>
      <c r="M1279" s="31">
        <f t="shared" si="81"/>
        <v>0</v>
      </c>
    </row>
    <row r="1280" spans="6:13" x14ac:dyDescent="0.25">
      <c r="F1280" s="93" t="str">
        <f t="shared" si="82"/>
        <v/>
      </c>
      <c r="G1280" s="31">
        <f t="shared" si="80"/>
        <v>0</v>
      </c>
      <c r="H1280" s="31" t="str">
        <f t="shared" si="83"/>
        <v xml:space="preserve"> </v>
      </c>
      <c r="I1280" s="92" t="s">
        <v>387</v>
      </c>
      <c r="J1280" s="31">
        <v>92701000</v>
      </c>
      <c r="M1280" s="31">
        <f t="shared" si="81"/>
        <v>0</v>
      </c>
    </row>
    <row r="1281" spans="6:13" x14ac:dyDescent="0.25">
      <c r="F1281" s="93" t="str">
        <f t="shared" si="82"/>
        <v/>
      </c>
      <c r="G1281" s="31">
        <f t="shared" si="80"/>
        <v>0</v>
      </c>
      <c r="H1281" s="31" t="str">
        <f t="shared" si="83"/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3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3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3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3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3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3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3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3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3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3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3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3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G1294" s="31">
        <f t="shared" ref="G1294:G1304" si="84">B1294</f>
        <v>0</v>
      </c>
      <c r="H1294" s="31" t="str">
        <f t="shared" si="83"/>
        <v xml:space="preserve"> </v>
      </c>
      <c r="I1294" s="92" t="s">
        <v>387</v>
      </c>
      <c r="J1294" s="31">
        <v>92701000</v>
      </c>
    </row>
    <row r="1295" spans="6:13" x14ac:dyDescent="0.25">
      <c r="G1295" s="31">
        <f t="shared" si="84"/>
        <v>0</v>
      </c>
      <c r="H1295" s="31" t="str">
        <f t="shared" si="83"/>
        <v xml:space="preserve"> </v>
      </c>
      <c r="I1295" s="92" t="s">
        <v>387</v>
      </c>
      <c r="J1295" s="31">
        <v>92701000</v>
      </c>
    </row>
    <row r="1296" spans="6:13" x14ac:dyDescent="0.25">
      <c r="G1296" s="31">
        <f t="shared" si="84"/>
        <v>0</v>
      </c>
      <c r="H1296" s="31" t="str">
        <f t="shared" si="83"/>
        <v xml:space="preserve"> </v>
      </c>
      <c r="I1296" s="92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2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8"/>
  <sheetViews>
    <sheetView tabSelected="1" workbookViewId="0">
      <pane ySplit="6" topLeftCell="A7" activePane="bottomLeft" state="frozen"/>
      <selection activeCell="A2" sqref="A2"/>
      <selection pane="bottomLeft" activeCell="A7" sqref="A7:H2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66709.789999999994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396</v>
      </c>
      <c r="B7" s="85" t="s">
        <v>397</v>
      </c>
      <c r="C7" s="85" t="s">
        <v>472</v>
      </c>
      <c r="D7" s="95" t="s">
        <v>387</v>
      </c>
      <c r="E7" s="85">
        <v>92701000</v>
      </c>
      <c r="F7" s="85"/>
      <c r="G7" s="85"/>
      <c r="H7" s="85">
        <v>2493.09</v>
      </c>
    </row>
    <row r="8" spans="1:8" x14ac:dyDescent="0.25">
      <c r="A8" s="94" t="s">
        <v>399</v>
      </c>
      <c r="B8" s="85" t="s">
        <v>400</v>
      </c>
      <c r="C8" s="85" t="s">
        <v>472</v>
      </c>
      <c r="D8" s="95" t="s">
        <v>387</v>
      </c>
      <c r="E8" s="85">
        <v>92701000</v>
      </c>
      <c r="F8" s="85"/>
      <c r="G8" s="85"/>
      <c r="H8" s="85">
        <v>2492.56</v>
      </c>
    </row>
    <row r="9" spans="1:8" x14ac:dyDescent="0.25">
      <c r="A9" s="94" t="s">
        <v>401</v>
      </c>
      <c r="B9" s="85" t="s">
        <v>402</v>
      </c>
      <c r="C9" s="85" t="s">
        <v>472</v>
      </c>
      <c r="D9" s="95" t="s">
        <v>387</v>
      </c>
      <c r="E9" s="85">
        <v>92701000</v>
      </c>
      <c r="F9" s="85"/>
      <c r="G9" s="85"/>
      <c r="H9" s="85">
        <v>5330.44</v>
      </c>
    </row>
    <row r="10" spans="1:8" x14ac:dyDescent="0.25">
      <c r="A10" s="94" t="s">
        <v>403</v>
      </c>
      <c r="B10" s="85" t="s">
        <v>404</v>
      </c>
      <c r="C10" s="85" t="s">
        <v>472</v>
      </c>
      <c r="D10" s="95" t="s">
        <v>387</v>
      </c>
      <c r="E10" s="85">
        <v>92701000</v>
      </c>
      <c r="F10" s="85"/>
      <c r="G10" s="85"/>
      <c r="H10" s="85">
        <v>5330.56</v>
      </c>
    </row>
    <row r="11" spans="1:8" x14ac:dyDescent="0.25">
      <c r="A11" s="94" t="s">
        <v>439</v>
      </c>
      <c r="B11" s="85" t="s">
        <v>440</v>
      </c>
      <c r="C11" s="85" t="s">
        <v>472</v>
      </c>
      <c r="D11" s="95" t="s">
        <v>387</v>
      </c>
      <c r="E11" s="85">
        <v>92701000</v>
      </c>
      <c r="F11" s="85"/>
      <c r="G11" s="85"/>
      <c r="H11" s="85">
        <v>2309.0700000000002</v>
      </c>
    </row>
    <row r="12" spans="1:8" x14ac:dyDescent="0.25">
      <c r="A12" s="94" t="s">
        <v>405</v>
      </c>
      <c r="B12" s="85" t="s">
        <v>406</v>
      </c>
      <c r="C12" s="85" t="s">
        <v>472</v>
      </c>
      <c r="D12" s="95" t="s">
        <v>387</v>
      </c>
      <c r="E12" s="85">
        <v>92701000</v>
      </c>
      <c r="F12" s="85"/>
      <c r="G12" s="85"/>
      <c r="H12" s="85">
        <v>2309.0700000000002</v>
      </c>
    </row>
    <row r="13" spans="1:8" x14ac:dyDescent="0.25">
      <c r="A13" s="94" t="s">
        <v>407</v>
      </c>
      <c r="B13" s="85" t="s">
        <v>408</v>
      </c>
      <c r="C13" s="85" t="s">
        <v>472</v>
      </c>
      <c r="D13" s="95" t="s">
        <v>387</v>
      </c>
      <c r="E13" s="85">
        <v>92701000</v>
      </c>
      <c r="F13" s="85"/>
      <c r="G13" s="85"/>
      <c r="H13" s="85">
        <v>2492.56</v>
      </c>
    </row>
    <row r="14" spans="1:8" x14ac:dyDescent="0.25">
      <c r="A14" s="94" t="s">
        <v>409</v>
      </c>
      <c r="B14" s="85" t="s">
        <v>410</v>
      </c>
      <c r="C14" s="85" t="s">
        <v>472</v>
      </c>
      <c r="D14" s="95" t="s">
        <v>387</v>
      </c>
      <c r="E14" s="85">
        <v>92701000</v>
      </c>
      <c r="F14" s="85"/>
      <c r="G14" s="85"/>
      <c r="H14" s="85">
        <v>2309.0700000000002</v>
      </c>
    </row>
    <row r="15" spans="1:8" x14ac:dyDescent="0.25">
      <c r="A15" s="94" t="s">
        <v>411</v>
      </c>
      <c r="B15" s="85" t="s">
        <v>412</v>
      </c>
      <c r="C15" s="85" t="s">
        <v>472</v>
      </c>
      <c r="D15" s="95" t="s">
        <v>387</v>
      </c>
      <c r="E15" s="85">
        <v>92701000</v>
      </c>
      <c r="F15" s="85"/>
      <c r="G15" s="85"/>
      <c r="H15" s="85">
        <v>2309.0700000000002</v>
      </c>
    </row>
    <row r="16" spans="1:8" x14ac:dyDescent="0.25">
      <c r="A16" s="94" t="s">
        <v>413</v>
      </c>
      <c r="B16" s="85" t="s">
        <v>414</v>
      </c>
      <c r="C16" s="85" t="s">
        <v>472</v>
      </c>
      <c r="D16" s="95" t="s">
        <v>387</v>
      </c>
      <c r="E16" s="85">
        <v>92701000</v>
      </c>
      <c r="F16" s="85"/>
      <c r="G16" s="85"/>
      <c r="H16" s="85">
        <v>2309.0700000000002</v>
      </c>
    </row>
    <row r="17" spans="1:8" x14ac:dyDescent="0.25">
      <c r="A17" s="94" t="s">
        <v>415</v>
      </c>
      <c r="B17" s="85" t="s">
        <v>416</v>
      </c>
      <c r="C17" s="85" t="s">
        <v>472</v>
      </c>
      <c r="D17" s="95" t="s">
        <v>387</v>
      </c>
      <c r="E17" s="85">
        <v>92701000</v>
      </c>
      <c r="F17" s="85"/>
      <c r="G17" s="85"/>
      <c r="H17" s="85">
        <v>2309.0700000000002</v>
      </c>
    </row>
    <row r="18" spans="1:8" x14ac:dyDescent="0.25">
      <c r="A18" s="94" t="s">
        <v>417</v>
      </c>
      <c r="B18" s="85" t="s">
        <v>418</v>
      </c>
      <c r="C18" s="85" t="s">
        <v>472</v>
      </c>
      <c r="D18" s="95" t="s">
        <v>387</v>
      </c>
      <c r="E18" s="85">
        <v>92701000</v>
      </c>
      <c r="F18" s="85"/>
      <c r="G18" s="85"/>
      <c r="H18" s="85">
        <v>2492.56</v>
      </c>
    </row>
    <row r="19" spans="1:8" x14ac:dyDescent="0.25">
      <c r="A19" s="94" t="s">
        <v>419</v>
      </c>
      <c r="B19" s="85" t="s">
        <v>420</v>
      </c>
      <c r="C19" s="85" t="s">
        <v>472</v>
      </c>
      <c r="D19" s="95" t="s">
        <v>387</v>
      </c>
      <c r="E19" s="85">
        <v>92701000</v>
      </c>
      <c r="F19" s="85"/>
      <c r="G19" s="85"/>
      <c r="H19" s="85">
        <v>2493.44</v>
      </c>
    </row>
    <row r="20" spans="1:8" x14ac:dyDescent="0.25">
      <c r="A20" s="94" t="s">
        <v>421</v>
      </c>
      <c r="B20" s="85" t="s">
        <v>422</v>
      </c>
      <c r="C20" s="85" t="s">
        <v>472</v>
      </c>
      <c r="D20" s="95" t="s">
        <v>387</v>
      </c>
      <c r="E20" s="85">
        <v>92701000</v>
      </c>
      <c r="F20" s="85"/>
      <c r="G20" s="85"/>
      <c r="H20" s="85">
        <v>2492.56</v>
      </c>
    </row>
    <row r="21" spans="1:8" x14ac:dyDescent="0.25">
      <c r="A21" s="94" t="s">
        <v>423</v>
      </c>
      <c r="B21" s="85" t="s">
        <v>424</v>
      </c>
      <c r="C21" s="85" t="s">
        <v>472</v>
      </c>
      <c r="D21" s="95" t="s">
        <v>387</v>
      </c>
      <c r="E21" s="85">
        <v>92701000</v>
      </c>
      <c r="F21" s="85"/>
      <c r="G21" s="85"/>
      <c r="H21" s="85">
        <v>10707.13</v>
      </c>
    </row>
    <row r="22" spans="1:8" x14ac:dyDescent="0.25">
      <c r="A22" s="94" t="s">
        <v>425</v>
      </c>
      <c r="B22" s="85" t="s">
        <v>426</v>
      </c>
      <c r="C22" s="85" t="s">
        <v>472</v>
      </c>
      <c r="D22" s="95" t="s">
        <v>387</v>
      </c>
      <c r="E22" s="85">
        <v>92701000</v>
      </c>
      <c r="F22" s="85"/>
      <c r="G22" s="85"/>
      <c r="H22" s="85">
        <v>2309.0700000000002</v>
      </c>
    </row>
    <row r="23" spans="1:8" x14ac:dyDescent="0.25">
      <c r="A23" s="94" t="s">
        <v>427</v>
      </c>
      <c r="B23" s="85" t="s">
        <v>428</v>
      </c>
      <c r="C23" s="85" t="s">
        <v>472</v>
      </c>
      <c r="D23" s="95" t="s">
        <v>387</v>
      </c>
      <c r="E23" s="85">
        <v>92701000</v>
      </c>
      <c r="F23" s="85"/>
      <c r="G23" s="85"/>
      <c r="H23" s="85">
        <v>2309.0700000000002</v>
      </c>
    </row>
    <row r="24" spans="1:8" x14ac:dyDescent="0.25">
      <c r="A24" s="94" t="s">
        <v>429</v>
      </c>
      <c r="B24" s="85" t="s">
        <v>430</v>
      </c>
      <c r="C24" s="85" t="s">
        <v>472</v>
      </c>
      <c r="D24" s="95" t="s">
        <v>387</v>
      </c>
      <c r="E24" s="85">
        <v>92701000</v>
      </c>
      <c r="F24" s="85"/>
      <c r="G24" s="85"/>
      <c r="H24" s="85">
        <v>2492.56</v>
      </c>
    </row>
    <row r="25" spans="1:8" x14ac:dyDescent="0.25">
      <c r="A25" s="94" t="s">
        <v>431</v>
      </c>
      <c r="B25" s="85" t="s">
        <v>432</v>
      </c>
      <c r="C25" s="85" t="s">
        <v>472</v>
      </c>
      <c r="D25" s="95" t="s">
        <v>387</v>
      </c>
      <c r="E25" s="85">
        <v>92701000</v>
      </c>
      <c r="F25" s="85"/>
      <c r="G25" s="85"/>
      <c r="H25" s="85">
        <v>2492.56</v>
      </c>
    </row>
    <row r="26" spans="1:8" x14ac:dyDescent="0.25">
      <c r="A26" s="94" t="s">
        <v>433</v>
      </c>
      <c r="B26" s="85" t="s">
        <v>434</v>
      </c>
      <c r="C26" s="85" t="s">
        <v>472</v>
      </c>
      <c r="D26" s="95" t="s">
        <v>387</v>
      </c>
      <c r="E26" s="85">
        <v>92701000</v>
      </c>
      <c r="F26" s="85"/>
      <c r="G26" s="85"/>
      <c r="H26" s="85">
        <v>2309.0700000000002</v>
      </c>
    </row>
    <row r="27" spans="1:8" x14ac:dyDescent="0.25">
      <c r="A27" s="94" t="s">
        <v>435</v>
      </c>
      <c r="B27" s="85" t="s">
        <v>436</v>
      </c>
      <c r="C27" s="85" t="s">
        <v>472</v>
      </c>
      <c r="D27" s="95" t="s">
        <v>387</v>
      </c>
      <c r="E27" s="85">
        <v>92701000</v>
      </c>
      <c r="F27" s="85"/>
      <c r="G27" s="85"/>
      <c r="H27" s="85">
        <v>2309.0700000000002</v>
      </c>
    </row>
    <row r="28" spans="1:8" x14ac:dyDescent="0.25">
      <c r="A28" s="94" t="s">
        <v>437</v>
      </c>
      <c r="B28" s="85" t="s">
        <v>438</v>
      </c>
      <c r="C28" s="85" t="s">
        <v>472</v>
      </c>
      <c r="D28" s="95" t="s">
        <v>387</v>
      </c>
      <c r="E28" s="85">
        <v>92701000</v>
      </c>
      <c r="F28" s="85"/>
      <c r="G28" s="85"/>
      <c r="H28" s="85">
        <v>2309.0700000000002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444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444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449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449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449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449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452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449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452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449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449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449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455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455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444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444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444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444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449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449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444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444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467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467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468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449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468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449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449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449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449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449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2023-02-21T12:44:55Z</cp:lastPrinted>
  <dcterms:created xsi:type="dcterms:W3CDTF">2012-02-27T08:19:11Z</dcterms:created>
  <dcterms:modified xsi:type="dcterms:W3CDTF">2023-03-22T08:35:32Z</dcterms:modified>
</cp:coreProperties>
</file>