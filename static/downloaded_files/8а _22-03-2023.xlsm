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0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27" i="280" l="1"/>
  <c r="C640" i="280" s="1"/>
  <c r="C625" i="280"/>
  <c r="C638" i="280" s="1"/>
  <c r="C623" i="280"/>
  <c r="C636" i="280" s="1"/>
  <c r="C611" i="280"/>
  <c r="C600" i="280"/>
  <c r="C613" i="280" s="1"/>
  <c r="C598" i="280"/>
  <c r="C596" i="280"/>
  <c r="C609" i="280" s="1"/>
  <c r="C573" i="280"/>
  <c r="C586" i="280" s="1"/>
  <c r="C571" i="280"/>
  <c r="C584" i="280" s="1"/>
  <c r="C569" i="280"/>
  <c r="C582" i="280" s="1"/>
  <c r="C557" i="280"/>
  <c r="C546" i="280"/>
  <c r="C559" i="280" s="1"/>
  <c r="C544" i="280"/>
  <c r="C542" i="280"/>
  <c r="C555" i="280" s="1"/>
  <c r="C519" i="280"/>
  <c r="C532" i="280" s="1"/>
  <c r="C517" i="280"/>
  <c r="C530" i="280" s="1"/>
  <c r="C515" i="280"/>
  <c r="C528" i="280" s="1"/>
  <c r="C503" i="280"/>
  <c r="C492" i="280"/>
  <c r="C505" i="280" s="1"/>
  <c r="C490" i="280"/>
  <c r="C488" i="280"/>
  <c r="C501" i="280" s="1"/>
  <c r="C474" i="280"/>
  <c r="C465" i="280"/>
  <c r="C478" i="280" s="1"/>
  <c r="C463" i="280"/>
  <c r="C476" i="280" s="1"/>
  <c r="C461" i="280"/>
  <c r="C451" i="280"/>
  <c r="C449" i="280"/>
  <c r="C438" i="280"/>
  <c r="C436" i="280"/>
  <c r="C434" i="280"/>
  <c r="C447" i="280" s="1"/>
  <c r="C420" i="280"/>
  <c r="C411" i="280"/>
  <c r="C424" i="280" s="1"/>
  <c r="C409" i="280"/>
  <c r="C422" i="280" s="1"/>
  <c r="C407" i="280"/>
  <c r="C397" i="280"/>
  <c r="C395" i="280"/>
  <c r="C384" i="280"/>
  <c r="C382" i="280"/>
  <c r="C380" i="280"/>
  <c r="C393" i="280" s="1"/>
  <c r="C366" i="280"/>
  <c r="C357" i="280"/>
  <c r="C370" i="280" s="1"/>
  <c r="C355" i="280"/>
  <c r="C368" i="280" s="1"/>
  <c r="C353" i="280"/>
  <c r="C343" i="280"/>
  <c r="C341" i="280"/>
  <c r="C330" i="280"/>
  <c r="C328" i="280"/>
  <c r="C326" i="280"/>
  <c r="C339" i="280" s="1"/>
  <c r="C312" i="280"/>
  <c r="C303" i="280"/>
  <c r="C316" i="280" s="1"/>
  <c r="C301" i="280"/>
  <c r="C314" i="280" s="1"/>
  <c r="C299" i="280"/>
  <c r="C289" i="280"/>
  <c r="C287" i="280"/>
  <c r="C276" i="280"/>
  <c r="C274" i="280"/>
  <c r="C272" i="280"/>
  <c r="C285" i="280" s="1"/>
  <c r="C258" i="280"/>
  <c r="C249" i="280"/>
  <c r="C262" i="280" s="1"/>
  <c r="C247" i="280"/>
  <c r="C260" i="280" s="1"/>
  <c r="C245" i="280"/>
  <c r="C235" i="280"/>
  <c r="C233" i="280"/>
  <c r="C222" i="280"/>
  <c r="C220" i="280"/>
  <c r="C218" i="280"/>
  <c r="C231" i="280" s="1"/>
  <c r="C204" i="280"/>
  <c r="C195" i="280"/>
  <c r="C208" i="280" s="1"/>
  <c r="C193" i="280"/>
  <c r="C206" i="280" s="1"/>
  <c r="C191" i="280"/>
  <c r="C181" i="280"/>
  <c r="C179" i="280"/>
  <c r="C168" i="280"/>
  <c r="C166" i="280"/>
  <c r="C164" i="280"/>
  <c r="C177" i="280" s="1"/>
  <c r="C150" i="280"/>
  <c r="C141" i="280"/>
  <c r="C154" i="280" s="1"/>
  <c r="C139" i="280"/>
  <c r="C152" i="280" s="1"/>
  <c r="C137" i="280"/>
  <c r="C127" i="280"/>
  <c r="C125" i="280"/>
  <c r="C114" i="280"/>
  <c r="C112" i="280"/>
  <c r="C110" i="280"/>
  <c r="C123" i="280" s="1"/>
  <c r="C96" i="280"/>
  <c r="C87" i="280"/>
  <c r="C100" i="280" s="1"/>
  <c r="C85" i="280"/>
  <c r="C98" i="280" s="1"/>
  <c r="C83" i="280"/>
  <c r="C73" i="280"/>
  <c r="C71" i="280"/>
  <c r="C60" i="280"/>
  <c r="C58" i="280"/>
  <c r="C56" i="280"/>
  <c r="C69" i="280" s="1"/>
  <c r="C42" i="280"/>
  <c r="C33" i="280"/>
  <c r="C46" i="280" s="1"/>
  <c r="C31" i="280"/>
  <c r="C44" i="280" s="1"/>
  <c r="C29" i="280"/>
  <c r="C19" i="280"/>
  <c r="C17" i="280"/>
  <c r="C6" i="280"/>
  <c r="C4" i="280"/>
  <c r="C2" i="280"/>
  <c r="C15" i="280" s="1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H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F2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<sst xmlns="http://schemas.openxmlformats.org/spreadsheetml/2006/main" count="2575" uniqueCount="504">
  <si>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</si>
  <si>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</si>
  <si>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</si>
  <si>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</si>
  <si>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</si>
  <si>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</si>
  <si>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</si>
  <si>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</si>
  <si>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</si>
  <si>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</si>
  <si>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</si>
  <si>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</si>
  <si>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</si>
  <si>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</si>
  <si>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</si>
  <si>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</si>
  <si>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</si>
  <si>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</si>
  <si>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</si>
  <si>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</si>
  <si>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</si>
  <si>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</si>
  <si>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</si>
  <si>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</si>
  <si>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</si>
  <si>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</si>
  <si>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</si>
  <si>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</si>
  <si>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</si>
  <si>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</si>
  <si>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</si>
  <si>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</si>
  <si>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</si>
  <si>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</si>
  <si>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</si>
  <si>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</si>
  <si>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</si>
  <si>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</si>
  <si>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</si>
  <si>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</si>
  <si>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</si>
  <si>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</si>
  <si>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</si>
  <si>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</si>
  <si>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</si>
  <si>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</si>
  <si>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</si>
  <si>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</si>
  <si>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</si>
  <si>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</si>
  <si>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</si>
  <si>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</si>
  <si>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</si>
  <si>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</si>
  <si>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</si>
  <si>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</si>
  <si>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</si>
  <si>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</si>
  <si>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</si>
  <si>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</si>
  <si>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</si>
  <si>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</si>
  <si>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</si>
  <si>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</si>
  <si>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</si>
  <si>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</si>
  <si>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</si>
  <si>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</si>
  <si>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</si>
  <si>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</si>
  <si>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</si>
  <si>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</si>
  <si>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</si>
  <si>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</si>
  <si>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</si>
  <si>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</si>
  <si>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</si>
  <si>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</si>
  <si>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</si>
  <si>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</si>
  <si>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</si>
  <si>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</si>
  <si>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</si>
  <si>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</si>
  <si>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</si>
  <si>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</si>
  <si>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</si>
  <si>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</si>
  <si>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</si>
  <si>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</si>
  <si>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</si>
  <si>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</si>
  <si>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</si>
  <si>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</si>
  <si>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</si>
  <si>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</si>
  <si>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</si>
  <si>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</si>
  <si>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</si>
  <si>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</si>
  <si>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</si>
  <si>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</si>
  <si>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</si>
  <si>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</si>
  <si>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</si>
  <si>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</si>
  <si>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</si>
  <si>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</si>
  <si>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</si>
  <si>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</si>
  <si>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</si>
  <si>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</si>
  <si>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</si>
  <si>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</si>
  <si>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</si>
  <si>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</si>
  <si>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</si>
  <si>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</si>
  <si>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</si>
  <si>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</si>
  <si>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</si>
  <si>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</si>
  <si>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</si>
  <si>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</si>
  <si>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</si>
  <si>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</si>
  <si>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</si>
  <si>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</si>
  <si>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</si>
  <si>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</si>
  <si>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</si>
  <si>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</si>
  <si>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</si>
  <si>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</si>
  <si>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</si>
  <si>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</si>
  <si>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</si>
  <si>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</si>
  <si>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</si>
  <si>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</si>
  <si>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</si>
  <si>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</si>
  <si>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</si>
  <si>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</si>
  <si>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</si>
  <si>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</si>
  <si>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</si>
  <si>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</si>
  <si>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</si>
  <si>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</si>
  <si>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</si>
  <si>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</si>
  <si>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</si>
  <si>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</si>
  <si>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</si>
  <si>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</si>
  <si>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</si>
  <si>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</si>
  <si>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</si>
  <si>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</si>
  <si>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</si>
  <si>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</si>
  <si>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</si>
  <si>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</si>
  <si>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</si>
  <si>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</si>
  <si>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</si>
  <si>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</si>
  <si>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</si>
  <si>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</si>
  <si>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</si>
  <si>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</si>
  <si>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</si>
  <si>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</si>
  <si>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</si>
  <si>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</si>
  <si>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</si>
  <si>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</si>
  <si>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</si>
  <si>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</si>
  <si>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</si>
  <si>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</si>
  <si>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</si>
  <si>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</si>
  <si>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</si>
  <si>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</si>
  <si>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</si>
  <si>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</si>
  <si>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</si>
  <si>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</si>
  <si>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</si>
  <si>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</si>
  <si>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</si>
  <si>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</si>
  <si>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</si>
  <si>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</si>
  <si>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</si>
  <si>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</si>
  <si>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</si>
  <si>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</si>
  <si>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</si>
  <si>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</si>
  <si>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</si>
  <si>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</si>
  <si>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</si>
  <si>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</si>
  <si>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</si>
  <si>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</si>
  <si>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</si>
  <si>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</si>
  <si>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</si>
  <si>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</si>
  <si>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</si>
  <si>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</si>
  <si>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</si>
  <si>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</si>
  <si>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</si>
  <si>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</si>
  <si>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</si>
  <si>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</si>
  <si>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</si>
  <si>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</si>
  <si>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</si>
  <si>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</si>
  <si>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</si>
  <si>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</si>
  <si>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</si>
  <si>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</si>
  <si>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</si>
  <si>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</si>
  <si>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</si>
  <si>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</si>
  <si>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</si>
  <si>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</si>
  <si>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</si>
  <si>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</si>
  <si>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</si>
  <si>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</si>
  <si>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</si>
  <si>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</si>
  <si>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</si>
  <si>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</si>
  <si>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</si>
  <si>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</si>
  <si>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</si>
  <si>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</si>
  <si>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</si>
  <si>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</si>
  <si>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</si>
  <si>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</si>
  <si>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</si>
  <si>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</si>
  <si>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</si>
  <si>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</si>
  <si>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</si>
  <si>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</si>
  <si>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</si>
  <si>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</si>
  <si>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</si>
  <si>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</si>
  <si>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</si>
  <si>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</si>
  <si>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</si>
  <si>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</si>
  <si>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</si>
  <si>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</si>
  <si>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</si>
  <si>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</si>
  <si>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</si>
  <si>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</si>
  <si>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</si>
  <si>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</si>
  <si>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</si>
  <si>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</si>
  <si>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</si>
  <si>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</si>
  <si>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</si>
  <si>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</si>
  <si>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</si>
  <si>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</si>
  <si>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</si>
  <si>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</si>
  <si>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</si>
  <si>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</si>
  <si>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</si>
  <si>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</si>
  <si>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</si>
  <si>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</si>
  <si>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</si>
  <si>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</si>
  <si>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</si>
  <si>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</si>
  <si>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</si>
  <si>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</si>
  <si>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</si>
  <si>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</si>
  <si>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</si>
  <si>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</si>
  <si>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</si>
  <si>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</si>
  <si>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</si>
  <si>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</si>
  <si>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</si>
  <si>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</si>
  <si>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</si>
  <si>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</si>
  <si>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</si>
  <si>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</si>
  <si>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</si>
  <si>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</si>
  <si>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</si>
  <si>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</si>
  <si>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</si>
  <si>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</si>
  <si>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</si>
  <si>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</si>
  <si>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</si>
  <si>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</si>
  <si>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</si>
  <si>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</si>
  <si>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</si>
  <si>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</si>
  <si>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</si>
  <si>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</si>
  <si>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</si>
  <si>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</si>
  <si>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</si>
  <si>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</si>
  <si>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</si>
  <si>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</si>
  <si>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</si>
  <si>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</si>
  <si>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</si>
  <si>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</si>
  <si>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</si>
  <si>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</si>
  <si>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</si>
  <si>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</si>
  <si>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</si>
  <si>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</si>
  <si>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</si>
  <si>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</si>
  <si>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</si>
  <si>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</si>
  <si>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</si>
  <si>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</si>
  <si>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</si>
  <si>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</si>
  <si>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</si>
  <si>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</si>
  <si>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</si>
  <si>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</si>
  <si>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</si>
  <si>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</si>
  <si>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</si>
  <si>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</si>
  <si>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</si>
  <si>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</si>
  <si>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</si>
  <si>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</si>
  <si>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</si>
  <si>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</si>
  <si>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</si>
  <si>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</si>
  <si>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</si>
  <si>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</si>
  <si>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</si>
  <si>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</si>
  <si>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</si>
  <si>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</si>
  <si>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</si>
  <si>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</si>
  <si>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</si>
  <si>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</si>
  <si>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</si>
  <si>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</si>
  <si>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</si>
  <si>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</si>
  <si>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</si>
  <si>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</si>
  <si>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</si>
  <si>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</si>
  <si>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</si>
  <si>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</si>
  <si>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</si>
  <si>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</si>
  <si>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</si>
  <si>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</si>
  <si>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</si>
  <si>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</si>
  <si>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</si>
  <si>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</si>
  <si>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</si>
  <si>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</si>
  <si>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</si>
  <si>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CATEGORY=5</t>
  </si>
  <si>
    <t xml:space="preserve">00026 </t>
  </si>
  <si>
    <t xml:space="preserve">Аджигитов Муса Рафаэльевич                        </t>
  </si>
  <si>
    <t xml:space="preserve">8а род              </t>
  </si>
  <si>
    <t xml:space="preserve">00027 </t>
  </si>
  <si>
    <t xml:space="preserve">Алтынбаев Ясин Айратович                          </t>
  </si>
  <si>
    <t xml:space="preserve">00028 </t>
  </si>
  <si>
    <t xml:space="preserve">Ахметов Адиль Альбертович                         </t>
  </si>
  <si>
    <t xml:space="preserve">00030 </t>
  </si>
  <si>
    <t xml:space="preserve">Бикташев Юсуф Рустемович                          </t>
  </si>
  <si>
    <t xml:space="preserve">00032 </t>
  </si>
  <si>
    <t xml:space="preserve">Габбасов Ахмет Ринатович                          </t>
  </si>
  <si>
    <t xml:space="preserve">00033 </t>
  </si>
  <si>
    <t xml:space="preserve">Галявиев Фатих Наилевич                           </t>
  </si>
  <si>
    <t xml:space="preserve">00034 </t>
  </si>
  <si>
    <t xml:space="preserve">Гараев Ислам Рустемович                           </t>
  </si>
  <si>
    <t xml:space="preserve">00036 </t>
  </si>
  <si>
    <t xml:space="preserve">Гилманов Билал Рустемович                         </t>
  </si>
  <si>
    <t xml:space="preserve">00035 </t>
  </si>
  <si>
    <t xml:space="preserve">Гилязов Дамир Рустамович                          </t>
  </si>
  <si>
    <t xml:space="preserve">00037 </t>
  </si>
  <si>
    <t xml:space="preserve">Гумиров Эдвард Рамилевич                          </t>
  </si>
  <si>
    <t xml:space="preserve">00039 </t>
  </si>
  <si>
    <t xml:space="preserve">Загидуллин Фират Маратович                        </t>
  </si>
  <si>
    <t>000888</t>
  </si>
  <si>
    <t xml:space="preserve">Зинуров Рашид Рустемович                          </t>
  </si>
  <si>
    <t xml:space="preserve">00040 </t>
  </si>
  <si>
    <t xml:space="preserve">Исрафилов Умар Айратович                          </t>
  </si>
  <si>
    <t xml:space="preserve">00041 </t>
  </si>
  <si>
    <t xml:space="preserve">Минаков Михаил Александрович                      </t>
  </si>
  <si>
    <t xml:space="preserve">00042 </t>
  </si>
  <si>
    <t xml:space="preserve">Надиров Закир Адилевич                            </t>
  </si>
  <si>
    <t xml:space="preserve">00467 </t>
  </si>
  <si>
    <t xml:space="preserve">Назмиев Рамзиль Зуфарович                         </t>
  </si>
  <si>
    <t xml:space="preserve">00044 </t>
  </si>
  <si>
    <t xml:space="preserve">Низамов Гусман Альфисович                         </t>
  </si>
  <si>
    <t xml:space="preserve">00045 </t>
  </si>
  <si>
    <t xml:space="preserve">Обандо Сандавал Александр-Саид                    </t>
  </si>
  <si>
    <t xml:space="preserve">00046 </t>
  </si>
  <si>
    <t xml:space="preserve">Сайфутдинов Искандер Ильнурович                   </t>
  </si>
  <si>
    <t xml:space="preserve">00047 </t>
  </si>
  <si>
    <t xml:space="preserve">Сахапов Ринат Гайнутдинович                       </t>
  </si>
  <si>
    <t xml:space="preserve">00048 </t>
  </si>
  <si>
    <t xml:space="preserve">Хамматов Карим Ирекович                           </t>
  </si>
  <si>
    <t xml:space="preserve">00050 </t>
  </si>
  <si>
    <t xml:space="preserve">Шайхутдинов Амир Эдуардович                       </t>
  </si>
  <si>
    <t>000711</t>
  </si>
  <si>
    <t xml:space="preserve">Шакиров Раиль Идрисович                           </t>
  </si>
  <si>
    <t>00026</t>
  </si>
  <si>
    <t>00027</t>
  </si>
  <si>
    <t>00028</t>
  </si>
  <si>
    <t>00030</t>
  </si>
  <si>
    <t>00032</t>
  </si>
  <si>
    <t>00033</t>
  </si>
  <si>
    <t>00034</t>
  </si>
  <si>
    <t>00036</t>
  </si>
  <si>
    <t>00035</t>
  </si>
  <si>
    <t>00037</t>
  </si>
  <si>
    <t>00039</t>
  </si>
  <si>
    <t>00040</t>
  </si>
  <si>
    <t>00041</t>
  </si>
  <si>
    <t>00042</t>
  </si>
  <si>
    <t>00467</t>
  </si>
  <si>
    <t>00044</t>
  </si>
  <si>
    <t>00046</t>
  </si>
  <si>
    <t>00047</t>
  </si>
  <si>
    <t>00048</t>
  </si>
  <si>
    <t>00050</t>
  </si>
  <si>
    <t>январь</t>
  </si>
  <si>
    <t>ЛС: 00026; ФИО обучающегося: Аджигитов Муса Рафаэльевич                        ; Назначение: 8а род февр; КБК: 82100000000000003131; ОКТМО: 92701000</t>
  </si>
  <si>
    <t>Сумма: 2540 руб. 00 коп.</t>
  </si>
  <si>
    <t>ЛС: 00027; ФИО обучающегося: Алтынбаев Ясин Айратович                          ; Назначение: 8а род февр; КБК: 82100000000000003131; ОКТМО: 92701000</t>
  </si>
  <si>
    <t>ЛС: 00028; ФИО обучающегося: Ахметов Адиль Альбертович                         ; Назначение: 8а род февр; КБК: 82100000000000003131; ОКТМО: 92701000</t>
  </si>
  <si>
    <t>ЛС: 00029; ФИО обучающегося: Батурин Иван Игоревич                             ; Назначение: 8а род февр; КБК: 82100000000000003131; ОКТМО: 92701000</t>
  </si>
  <si>
    <t>Сумма: 2476 руб. 48 коп.</t>
  </si>
  <si>
    <t>ЛС: 00030; ФИО обучающегося: Бикташев Юсуф Рустемович                          ; Назначение: 8а род февр; КБК: 82100000000000003131; ОКТМО: 92701000</t>
  </si>
  <si>
    <t>ЛС: 00032; ФИО обучающегося: Габбасов Ахмет Ринатович                          ; Назначение: 8а род февр; КБК: 82100000000000003131; ОКТМО: 92701000</t>
  </si>
  <si>
    <t>Сумма: 2699 руб. 69 коп.</t>
  </si>
  <si>
    <t>ЛС: 00033; ФИО обучающегося: Галявиев Фатих Наилевич                           ; Назначение: 8а род февр; КБК: 82100000000000003131; ОКТМО: 92701000</t>
  </si>
  <si>
    <t>Сумма: 2838 руб. 00 коп.</t>
  </si>
  <si>
    <t>ЛС: 00034; ФИО обучающегося: Гараев Ислам Рустемович                           ; Назначение: 8а род февр; КБК: 82100000000000003131; ОКТМО: 92701000</t>
  </si>
  <si>
    <t>ЛС: 00036; ФИО обучающегося: Гилманов Билал Рустемович                         ; Назначение: 8а род февр; КБК: 82100000000000003131; ОКТМО: 92701000</t>
  </si>
  <si>
    <t>Сумма: 2462 руб. 04 коп.</t>
  </si>
  <si>
    <t>ЛС: 00035; ФИО обучающегося: Гилязов Дамир Рустамович                          ; Назначение: 8а род февр; КБК: 82100000000000003131; ОКТМО: 92701000</t>
  </si>
  <si>
    <t>Сумма: 4654 руб. 07 коп.</t>
  </si>
  <si>
    <t>ЛС: 00037; ФИО обучающегося: Гумиров Эдвард Рамилевич                          ; Назначение: 8а род февр; КБК: 82100000000000003131; ОКТМО: 92701000</t>
  </si>
  <si>
    <t>ЛС: 00039; ФИО обучающегося: Загидуллин Фират Маратович                        ; Назначение: 8а род февр; КБК: 82100000000000003131; ОКТМО: 92701000</t>
  </si>
  <si>
    <t>Сумма: 288 руб. 48 коп.</t>
  </si>
  <si>
    <t>ЛС: 000888; ФИО обучающегося: Зинуров Рашид Рустемович                          ; Назначение: 8а род февр; КБК: 82100000000000003131; ОКТМО: 92701000</t>
  </si>
  <si>
    <t>Сумма: 2837 руб. 98 коп.</t>
  </si>
  <si>
    <t>ЛС: 00040; ФИО обучающегося: Исрафилов Умар Айратович                          ; Назначение: 8а род февр; КБК: 82100000000000003131; ОКТМО: 92701000</t>
  </si>
  <si>
    <t>ЛС: 00041; ФИО обучающегося: Минаков Михаил Александрович                      ; Назначение: 8а род февр; КБК: 82100000000000003131; ОКТМО: 92701000</t>
  </si>
  <si>
    <t>ЛС: 00042; ФИО обучающегося: Надиров Закир Адилевич                            ; Назначение: 8а род февр; КБК: 82100000000000003131; ОКТМО: 92701000</t>
  </si>
  <si>
    <t>ЛС: 00467; ФИО обучающегося: Назмиев Рамзиль Зуфарович                         ; Назначение: 8а род февр; КБК: 82100000000000003131; ОКТМО: 92701000</t>
  </si>
  <si>
    <t>ЛС: 00044; ФИО обучающегося: Низамов Гусман Альфисович                         ; Назначение: 8а род февр; КБК: 82100000000000003131; ОКТМО: 92701000</t>
  </si>
  <si>
    <t>Сумма: 7816 руб. 60 коп.</t>
  </si>
  <si>
    <t>ЛС: 00045; ФИО обучающегося: Обандо Сандавал Александр-Саид                    ; Назначение: 8а род февр; КБК: 82100000000000003131; ОКТМО: 92701000</t>
  </si>
  <si>
    <t>Сумма: 239 руб. 25 коп.</t>
  </si>
  <si>
    <t>ЛС: 00046; ФИО обучающегося: Сайфутдинов Искандер Ильнурович                   ; Назначение: 8а род февр; КБК: 82100000000000003131; ОКТМО: 92701000</t>
  </si>
  <si>
    <t>ЛС: 00047; ФИО обучающегося: Сахапов Ринат Гайнутдинович                       ; Назначение: 8а род февр; КБК: 82100000000000003131; ОКТМО: 92701000</t>
  </si>
  <si>
    <t>Сумма: 2502 руб. 37 коп.</t>
  </si>
  <si>
    <t>ЛС: 00048; ФИО обучающегося: Хамматов Карим Ирекович                           ; Назначение: 8а род февр; КБК: 82100000000000003131; ОКТМО: 92701000</t>
  </si>
  <si>
    <t>Сумма: 2321 руб. 70 коп.</t>
  </si>
  <si>
    <t>ЛС: 00050; ФИО обучающегося: Шайхутдинов Амир Эдуардович                       ; Назначение: 8а род февр; КБК: 82100000000000003131; ОКТМО: 92701000</t>
  </si>
  <si>
    <t>ЛС: 000711; ФИО обучающегося: Шакиров Раиль Идрисович                           ; Назначение: 8а род февр; КБК: 82100000000000003131; ОКТМО: 92701000</t>
  </si>
  <si>
    <t>март</t>
  </si>
  <si>
    <t>000653</t>
  </si>
  <si>
    <t xml:space="preserve">Хамед Амир Мохамадович                            </t>
  </si>
  <si>
    <t>8а род 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</si>
</sst>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637</xdr:row>
      <xdr:rowOff>1</xdr:rowOff>
    </xdr:from>
    <xdr:to>
      <xdr:col>1</xdr:col>
      <xdr:colOff>1525906</xdr:colOff>
      <xdr:row>645</xdr:row>
      <xdr:rowOff>59056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886247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29" headerRowDxfId="23" dataDxfId="0" totalsRowDxfId="20" headerRowBorderDxfId="22" tableBorderDxfId="21">
  <autoFilter ref="A6:H29"/>
  <tableColumns count="8">
    <tableColumn id="1" name="Лицевой счет" totalsRowLabel="Итог" dataDxfId="8" dataCellStyle="Обычный 2"/>
    <tableColumn id="2" name="ФИО обучающегося" dataDxfId="7" totalsRowDxfId="19" dataCellStyle="Обычный 2"/>
    <tableColumn id="3" name="Назначение" dataDxfId="6" totalsRowDxfId="18" dataCellStyle="Обычный 2"/>
    <tableColumn id="4" name="КБК" dataDxfId="5" dataCellStyle="Обычный 2"/>
    <tableColumn id="5" name="ОКТМО" dataDxfId="4" totalsRowDxfId="17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F2" sqref="F2:M25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396</v>
      </c>
      <c r="B2" s="92" t="s">
        <v>397</v>
      </c>
      <c r="C2" s="92" t="s">
        <v>398</v>
      </c>
      <c r="D2" s="92" t="s">
        <v>500</v>
      </c>
      <c r="E2" s="93">
        <v>2309.0700000000002</v>
      </c>
      <c r="F2" s="98" t="str">
        <f>TRIM(A2)</f>
        <v>00026</v>
      </c>
      <c r="G2" s="31" t="str">
        <f t="shared" ref="G2:G46" si="0">B2</f>
        <v xml:space="preserve">Аджигитов Муса Рафаэльевич                        </v>
      </c>
      <c r="H2" s="31" t="str">
        <f>CONCATENATE(TRIM(C2)," ",D2)</f>
        <v>8а род март</v>
      </c>
      <c r="I2" s="94" t="s">
        <v>387</v>
      </c>
      <c r="J2" s="31">
        <v>92701000</v>
      </c>
      <c r="M2" s="31">
        <f t="shared" ref="M2:M63" si="1">E2</f>
        <v>2309.0700000000002</v>
      </c>
    </row>
    <row r="3" spans="1:13" x14ac:dyDescent="0.25">
      <c r="A3" s="92" t="s">
        <v>399</v>
      </c>
      <c r="B3" s="92" t="s">
        <v>400</v>
      </c>
      <c r="C3" s="92" t="s">
        <v>398</v>
      </c>
      <c r="D3" s="92" t="s">
        <v>500</v>
      </c>
      <c r="E3" s="93">
        <v>2309.0700000000002</v>
      </c>
      <c r="F3" s="98" t="str">
        <f t="shared" ref="F3:F66" si="2">TRIM(A3)</f>
        <v>00027</v>
      </c>
      <c r="G3" s="31" t="str">
        <f t="shared" si="0"/>
        <v xml:space="preserve">Алтынбаев Ясин Айратович                          </v>
      </c>
      <c r="H3" s="31" t="str">
        <f t="shared" ref="H3:H66" si="3">CONCATENATE(TRIM(C3)," ",D3)</f>
        <v>8а род март</v>
      </c>
      <c r="I3" s="94" t="s">
        <v>387</v>
      </c>
      <c r="J3" s="31">
        <v>92701000</v>
      </c>
      <c r="M3" s="31">
        <f t="shared" si="1"/>
        <v>2309.0700000000002</v>
      </c>
    </row>
    <row r="4" spans="1:13" x14ac:dyDescent="0.25">
      <c r="A4" s="92" t="s">
        <v>401</v>
      </c>
      <c r="B4" s="92" t="s">
        <v>402</v>
      </c>
      <c r="C4" s="92" t="s">
        <v>398</v>
      </c>
      <c r="D4" s="92" t="s">
        <v>500</v>
      </c>
      <c r="E4" s="93">
        <v>2309.0700000000002</v>
      </c>
      <c r="F4" s="98" t="str">
        <f t="shared" si="2"/>
        <v>00028</v>
      </c>
      <c r="G4" s="31" t="str">
        <f t="shared" si="0"/>
        <v xml:space="preserve">Ахметов Адиль Альбертович                         </v>
      </c>
      <c r="H4" s="31" t="str">
        <f t="shared" si="3"/>
        <v>8а род март</v>
      </c>
      <c r="I4" s="94" t="s">
        <v>387</v>
      </c>
      <c r="J4" s="31">
        <v>92701000</v>
      </c>
      <c r="M4" s="31">
        <f t="shared" si="1"/>
        <v>2309.0700000000002</v>
      </c>
    </row>
    <row r="5" spans="1:13" x14ac:dyDescent="0.25">
      <c r="A5" s="92" t="s">
        <v>403</v>
      </c>
      <c r="B5" s="92" t="s">
        <v>404</v>
      </c>
      <c r="C5" s="92" t="s">
        <v>398</v>
      </c>
      <c r="D5" s="92" t="s">
        <v>500</v>
      </c>
      <c r="E5" s="93">
        <v>2309.0700000000002</v>
      </c>
      <c r="F5" s="98" t="str">
        <f t="shared" si="2"/>
        <v>00030</v>
      </c>
      <c r="G5" s="31" t="str">
        <f t="shared" si="0"/>
        <v xml:space="preserve">Бикташев Юсуф Рустемович                          </v>
      </c>
      <c r="H5" s="31" t="str">
        <f t="shared" si="3"/>
        <v>8а род март</v>
      </c>
      <c r="I5" s="94" t="s">
        <v>387</v>
      </c>
      <c r="J5" s="31">
        <v>92701000</v>
      </c>
      <c r="M5" s="31">
        <f t="shared" si="1"/>
        <v>2309.0700000000002</v>
      </c>
    </row>
    <row r="6" spans="1:13" x14ac:dyDescent="0.25">
      <c r="A6" s="92" t="s">
        <v>405</v>
      </c>
      <c r="B6" s="92" t="s">
        <v>406</v>
      </c>
      <c r="C6" s="92" t="s">
        <v>398</v>
      </c>
      <c r="D6" s="92" t="s">
        <v>500</v>
      </c>
      <c r="E6" s="93">
        <v>2492.56</v>
      </c>
      <c r="F6" s="98" t="str">
        <f t="shared" si="2"/>
        <v>00032</v>
      </c>
      <c r="G6" s="31" t="str">
        <f t="shared" si="0"/>
        <v xml:space="preserve">Габбасов Ахмет Ринатович                          </v>
      </c>
      <c r="H6" s="31" t="str">
        <f t="shared" si="3"/>
        <v>8а род март</v>
      </c>
      <c r="I6" s="94" t="s">
        <v>387</v>
      </c>
      <c r="J6" s="31">
        <v>92701000</v>
      </c>
      <c r="M6" s="31">
        <f t="shared" si="1"/>
        <v>2492.56</v>
      </c>
    </row>
    <row r="7" spans="1:13" x14ac:dyDescent="0.25">
      <c r="A7" s="92" t="s">
        <v>407</v>
      </c>
      <c r="B7" s="92" t="s">
        <v>408</v>
      </c>
      <c r="C7" s="92" t="s">
        <v>398</v>
      </c>
      <c r="D7" s="92" t="s">
        <v>500</v>
      </c>
      <c r="E7" s="93">
        <v>4867.45</v>
      </c>
      <c r="F7" s="98" t="str">
        <f t="shared" si="2"/>
        <v>00033</v>
      </c>
      <c r="G7" s="31" t="str">
        <f t="shared" si="0"/>
        <v xml:space="preserve">Галявиев Фатих Наилевич                           </v>
      </c>
      <c r="H7" s="31" t="str">
        <f t="shared" si="3"/>
        <v>8а род март</v>
      </c>
      <c r="I7" s="94" t="s">
        <v>387</v>
      </c>
      <c r="J7" s="31">
        <v>92701000</v>
      </c>
      <c r="M7" s="31">
        <f t="shared" si="1"/>
        <v>4867.45</v>
      </c>
    </row>
    <row r="8" spans="1:13" x14ac:dyDescent="0.25">
      <c r="A8" s="92" t="s">
        <v>409</v>
      </c>
      <c r="B8" s="92" t="s">
        <v>410</v>
      </c>
      <c r="C8" s="92" t="s">
        <v>398</v>
      </c>
      <c r="D8" s="92" t="s">
        <v>500</v>
      </c>
      <c r="E8" s="93">
        <v>2309.0700000000002</v>
      </c>
      <c r="F8" s="98" t="str">
        <f t="shared" si="2"/>
        <v>00034</v>
      </c>
      <c r="G8" s="31" t="str">
        <f t="shared" si="0"/>
        <v xml:space="preserve">Гараев Ислам Рустемович                           </v>
      </c>
      <c r="H8" s="31" t="str">
        <f t="shared" si="3"/>
        <v>8а род март</v>
      </c>
      <c r="I8" s="94" t="s">
        <v>387</v>
      </c>
      <c r="J8" s="31">
        <v>92701000</v>
      </c>
      <c r="M8" s="31">
        <f t="shared" si="1"/>
        <v>2309.0700000000002</v>
      </c>
    </row>
    <row r="9" spans="1:13" x14ac:dyDescent="0.25">
      <c r="A9" s="92" t="s">
        <v>411</v>
      </c>
      <c r="B9" s="92" t="s">
        <v>412</v>
      </c>
      <c r="C9" s="92" t="s">
        <v>398</v>
      </c>
      <c r="D9" s="92" t="s">
        <v>500</v>
      </c>
      <c r="E9" s="93">
        <v>2287.44</v>
      </c>
      <c r="F9" s="98" t="str">
        <f t="shared" si="2"/>
        <v>00036</v>
      </c>
      <c r="G9" s="31" t="str">
        <f t="shared" si="0"/>
        <v xml:space="preserve">Гилманов Билал Рустемович                         </v>
      </c>
      <c r="H9" s="31" t="str">
        <f t="shared" si="3"/>
        <v>8а род март</v>
      </c>
      <c r="I9" s="94" t="s">
        <v>387</v>
      </c>
      <c r="J9" s="31">
        <v>92701000</v>
      </c>
      <c r="M9" s="31">
        <f t="shared" si="1"/>
        <v>2287.44</v>
      </c>
    </row>
    <row r="10" spans="1:13" x14ac:dyDescent="0.25">
      <c r="A10" s="92" t="s">
        <v>413</v>
      </c>
      <c r="B10" s="92" t="s">
        <v>414</v>
      </c>
      <c r="C10" s="92" t="s">
        <v>398</v>
      </c>
      <c r="D10" s="92" t="s">
        <v>500</v>
      </c>
      <c r="E10" s="93">
        <v>6963.14</v>
      </c>
      <c r="F10" s="98" t="str">
        <f t="shared" si="2"/>
        <v>00035</v>
      </c>
      <c r="G10" s="31" t="str">
        <f t="shared" si="0"/>
        <v xml:space="preserve">Гилязов Дамир Рустамович                          </v>
      </c>
      <c r="H10" s="31" t="str">
        <f t="shared" si="3"/>
        <v>8а род март</v>
      </c>
      <c r="I10" s="94" t="s">
        <v>387</v>
      </c>
      <c r="J10" s="31">
        <v>92701000</v>
      </c>
      <c r="M10" s="31">
        <f t="shared" si="1"/>
        <v>6963.14</v>
      </c>
    </row>
    <row r="11" spans="1:13" x14ac:dyDescent="0.25">
      <c r="A11" s="92" t="s">
        <v>415</v>
      </c>
      <c r="B11" s="92" t="s">
        <v>416</v>
      </c>
      <c r="C11" s="92" t="s">
        <v>398</v>
      </c>
      <c r="D11" s="92" t="s">
        <v>500</v>
      </c>
      <c r="E11" s="93">
        <v>4849.07</v>
      </c>
      <c r="F11" s="98" t="str">
        <f t="shared" si="2"/>
        <v>00037</v>
      </c>
      <c r="G11" s="31" t="str">
        <f t="shared" si="0"/>
        <v xml:space="preserve">Гумиров Эдвард Рамилевич                          </v>
      </c>
      <c r="H11" s="31" t="str">
        <f t="shared" si="3"/>
        <v>8а род март</v>
      </c>
      <c r="I11" s="94" t="s">
        <v>387</v>
      </c>
      <c r="J11" s="31">
        <v>92701000</v>
      </c>
      <c r="M11" s="31">
        <f t="shared" si="1"/>
        <v>4849.07</v>
      </c>
    </row>
    <row r="12" spans="1:13" x14ac:dyDescent="0.25">
      <c r="A12" s="92" t="s">
        <v>417</v>
      </c>
      <c r="B12" s="92" t="s">
        <v>418</v>
      </c>
      <c r="C12" s="92" t="s">
        <v>398</v>
      </c>
      <c r="D12" s="92" t="s">
        <v>500</v>
      </c>
      <c r="E12" s="93">
        <v>2492.56</v>
      </c>
      <c r="F12" s="98" t="str">
        <f t="shared" si="2"/>
        <v>00039</v>
      </c>
      <c r="G12" s="31" t="str">
        <f t="shared" si="0"/>
        <v xml:space="preserve">Загидуллин Фират Маратович                        </v>
      </c>
      <c r="H12" s="31" t="str">
        <f t="shared" si="3"/>
        <v>8а род март</v>
      </c>
      <c r="I12" s="94" t="s">
        <v>387</v>
      </c>
      <c r="J12" s="31">
        <v>92701000</v>
      </c>
      <c r="M12" s="31">
        <f t="shared" si="1"/>
        <v>2492.56</v>
      </c>
    </row>
    <row r="13" spans="1:13" x14ac:dyDescent="0.25">
      <c r="A13" s="92" t="s">
        <v>419</v>
      </c>
      <c r="B13" s="92" t="s">
        <v>420</v>
      </c>
      <c r="C13" s="92" t="s">
        <v>398</v>
      </c>
      <c r="D13" s="92" t="s">
        <v>500</v>
      </c>
      <c r="E13" s="93">
        <v>5180.7</v>
      </c>
      <c r="F13" s="98" t="str">
        <f t="shared" si="2"/>
        <v>000888</v>
      </c>
      <c r="G13" s="31" t="str">
        <f t="shared" si="0"/>
        <v xml:space="preserve">Зинуров Рашид Рустемович                          </v>
      </c>
      <c r="H13" s="31" t="str">
        <f t="shared" si="3"/>
        <v>8а род март</v>
      </c>
      <c r="I13" s="94" t="s">
        <v>387</v>
      </c>
      <c r="J13" s="31">
        <v>92701000</v>
      </c>
      <c r="M13" s="31">
        <f t="shared" si="1"/>
        <v>5180.7</v>
      </c>
    </row>
    <row r="14" spans="1:13" x14ac:dyDescent="0.25">
      <c r="A14" s="92" t="s">
        <v>421</v>
      </c>
      <c r="B14" s="92" t="s">
        <v>422</v>
      </c>
      <c r="C14" s="92" t="s">
        <v>398</v>
      </c>
      <c r="D14" s="92" t="s">
        <v>500</v>
      </c>
      <c r="E14" s="93">
        <v>2492.56</v>
      </c>
      <c r="F14" s="98" t="str">
        <f t="shared" si="2"/>
        <v>00040</v>
      </c>
      <c r="G14" s="31" t="str">
        <f t="shared" si="0"/>
        <v xml:space="preserve">Исрафилов Умар Айратович                          </v>
      </c>
      <c r="H14" s="31" t="str">
        <f t="shared" si="3"/>
        <v>8а род март</v>
      </c>
      <c r="I14" s="94" t="s">
        <v>387</v>
      </c>
      <c r="J14" s="31">
        <v>92701000</v>
      </c>
      <c r="M14" s="31">
        <f t="shared" si="1"/>
        <v>2492.56</v>
      </c>
    </row>
    <row r="15" spans="1:13" x14ac:dyDescent="0.25">
      <c r="A15" s="92" t="s">
        <v>423</v>
      </c>
      <c r="B15" s="92" t="s">
        <v>424</v>
      </c>
      <c r="C15" s="92" t="s">
        <v>398</v>
      </c>
      <c r="D15" s="92" t="s">
        <v>500</v>
      </c>
      <c r="E15" s="93">
        <v>4867.45</v>
      </c>
      <c r="F15" s="98" t="str">
        <f t="shared" si="2"/>
        <v>00041</v>
      </c>
      <c r="G15" s="31" t="str">
        <f t="shared" si="0"/>
        <v xml:space="preserve">Минаков Михаил Александрович                      </v>
      </c>
      <c r="H15" s="31" t="str">
        <f t="shared" si="3"/>
        <v>8а род март</v>
      </c>
      <c r="I15" s="94" t="s">
        <v>387</v>
      </c>
      <c r="J15" s="31">
        <v>92701000</v>
      </c>
      <c r="M15" s="31">
        <f t="shared" si="1"/>
        <v>4867.45</v>
      </c>
    </row>
    <row r="16" spans="1:13" x14ac:dyDescent="0.25">
      <c r="A16" s="92" t="s">
        <v>425</v>
      </c>
      <c r="B16" s="92" t="s">
        <v>426</v>
      </c>
      <c r="C16" s="92" t="s">
        <v>398</v>
      </c>
      <c r="D16" s="92" t="s">
        <v>500</v>
      </c>
      <c r="E16" s="93">
        <v>2492.56</v>
      </c>
      <c r="F16" s="98" t="str">
        <f t="shared" si="2"/>
        <v>00042</v>
      </c>
      <c r="G16" s="31" t="str">
        <f t="shared" si="0"/>
        <v xml:space="preserve">Надиров Закир Адилевич                            </v>
      </c>
      <c r="H16" s="31" t="str">
        <f t="shared" si="3"/>
        <v>8а род март</v>
      </c>
      <c r="I16" s="94" t="s">
        <v>387</v>
      </c>
      <c r="J16" s="31">
        <v>92701000</v>
      </c>
      <c r="M16" s="31">
        <f t="shared" si="1"/>
        <v>2492.56</v>
      </c>
    </row>
    <row r="17" spans="1:13" x14ac:dyDescent="0.25">
      <c r="A17" s="92" t="s">
        <v>427</v>
      </c>
      <c r="B17" s="92" t="s">
        <v>428</v>
      </c>
      <c r="C17" s="92" t="s">
        <v>398</v>
      </c>
      <c r="D17" s="92" t="s">
        <v>500</v>
      </c>
      <c r="E17" s="93">
        <v>2309.0700000000002</v>
      </c>
      <c r="F17" s="98" t="str">
        <f t="shared" si="2"/>
        <v>00467</v>
      </c>
      <c r="G17" s="31" t="str">
        <f t="shared" si="0"/>
        <v xml:space="preserve">Назмиев Рамзиль Зуфарович                         </v>
      </c>
      <c r="H17" s="31" t="str">
        <f t="shared" si="3"/>
        <v>8а род март</v>
      </c>
      <c r="I17" s="94" t="s">
        <v>387</v>
      </c>
      <c r="J17" s="31">
        <v>92701000</v>
      </c>
      <c r="M17" s="31">
        <f t="shared" si="1"/>
        <v>2309.0700000000002</v>
      </c>
    </row>
    <row r="18" spans="1:13" x14ac:dyDescent="0.25">
      <c r="A18" s="92" t="s">
        <v>429</v>
      </c>
      <c r="B18" s="92" t="s">
        <v>430</v>
      </c>
      <c r="C18" s="92" t="s">
        <v>398</v>
      </c>
      <c r="D18" s="92" t="s">
        <v>500</v>
      </c>
      <c r="E18" s="93">
        <v>10309.16</v>
      </c>
      <c r="F18" s="98" t="str">
        <f t="shared" si="2"/>
        <v>00044</v>
      </c>
      <c r="G18" s="31" t="str">
        <f t="shared" si="0"/>
        <v xml:space="preserve">Низамов Гусман Альфисович                         </v>
      </c>
      <c r="H18" s="31" t="str">
        <f t="shared" si="3"/>
        <v>8а род март</v>
      </c>
      <c r="I18" s="94" t="s">
        <v>387</v>
      </c>
      <c r="J18" s="31">
        <v>92701000</v>
      </c>
      <c r="M18" s="31">
        <f t="shared" si="1"/>
        <v>10309.16</v>
      </c>
    </row>
    <row r="19" spans="1:13" x14ac:dyDescent="0.25">
      <c r="A19" s="92" t="s">
        <v>431</v>
      </c>
      <c r="B19" s="92" t="s">
        <v>432</v>
      </c>
      <c r="C19" s="92" t="s">
        <v>398</v>
      </c>
      <c r="D19" s="92" t="s">
        <v>500</v>
      </c>
      <c r="E19" s="93">
        <v>26.69</v>
      </c>
      <c r="F19" s="98" t="str">
        <f t="shared" si="2"/>
        <v>00045</v>
      </c>
      <c r="G19" s="31" t="str">
        <f t="shared" si="0"/>
        <v xml:space="preserve">Обандо Сандавал Александр-Саид                    </v>
      </c>
      <c r="H19" s="31" t="str">
        <f t="shared" si="3"/>
        <v>8а род март</v>
      </c>
      <c r="I19" s="94" t="s">
        <v>387</v>
      </c>
      <c r="J19" s="31">
        <v>92701000</v>
      </c>
      <c r="M19" s="31">
        <f t="shared" si="1"/>
        <v>26.69</v>
      </c>
    </row>
    <row r="20" spans="1:13" x14ac:dyDescent="0.25">
      <c r="A20" s="92" t="s">
        <v>433</v>
      </c>
      <c r="B20" s="92" t="s">
        <v>434</v>
      </c>
      <c r="C20" s="92" t="s">
        <v>398</v>
      </c>
      <c r="D20" s="92" t="s">
        <v>500</v>
      </c>
      <c r="E20" s="93">
        <v>5192.25</v>
      </c>
      <c r="F20" s="98" t="str">
        <f t="shared" si="2"/>
        <v>00046</v>
      </c>
      <c r="G20" s="31" t="str">
        <f t="shared" si="0"/>
        <v xml:space="preserve">Сайфутдинов Искандер Ильнурович                   </v>
      </c>
      <c r="H20" s="31" t="str">
        <f t="shared" si="3"/>
        <v>8а род март</v>
      </c>
      <c r="I20" s="94" t="s">
        <v>387</v>
      </c>
      <c r="J20" s="31">
        <v>92701000</v>
      </c>
      <c r="M20" s="31">
        <f t="shared" si="1"/>
        <v>5192.25</v>
      </c>
    </row>
    <row r="21" spans="1:13" x14ac:dyDescent="0.25">
      <c r="A21" s="92" t="s">
        <v>435</v>
      </c>
      <c r="B21" s="92" t="s">
        <v>436</v>
      </c>
      <c r="C21" s="92" t="s">
        <v>398</v>
      </c>
      <c r="D21" s="92" t="s">
        <v>500</v>
      </c>
      <c r="E21" s="93">
        <v>2309.0700000000002</v>
      </c>
      <c r="F21" s="98" t="str">
        <f t="shared" si="2"/>
        <v>00047</v>
      </c>
      <c r="G21" s="31" t="str">
        <f t="shared" si="0"/>
        <v xml:space="preserve">Сахапов Ринат Гайнутдинович                       </v>
      </c>
      <c r="H21" s="31" t="str">
        <f t="shared" si="3"/>
        <v>8а род март</v>
      </c>
      <c r="I21" s="94" t="s">
        <v>387</v>
      </c>
      <c r="J21" s="31">
        <v>92701000</v>
      </c>
      <c r="M21" s="31">
        <f t="shared" si="1"/>
        <v>2309.0700000000002</v>
      </c>
    </row>
    <row r="22" spans="1:13" x14ac:dyDescent="0.25">
      <c r="A22" s="92" t="s">
        <v>501</v>
      </c>
      <c r="B22" s="92" t="s">
        <v>502</v>
      </c>
      <c r="C22" s="92" t="s">
        <v>398</v>
      </c>
      <c r="D22" s="92" t="s">
        <v>500</v>
      </c>
      <c r="E22" s="93">
        <v>1565.08</v>
      </c>
      <c r="F22" s="98" t="str">
        <f t="shared" si="2"/>
        <v>000653</v>
      </c>
      <c r="G22" s="31" t="str">
        <f t="shared" si="0"/>
        <v xml:space="preserve">Хамед Амир Мохамадович                            </v>
      </c>
      <c r="H22" s="31" t="str">
        <f t="shared" si="3"/>
        <v>8а род март</v>
      </c>
      <c r="I22" s="94" t="s">
        <v>387</v>
      </c>
      <c r="J22" s="31">
        <v>92701000</v>
      </c>
      <c r="M22" s="31">
        <f t="shared" si="1"/>
        <v>1565.08</v>
      </c>
    </row>
    <row r="23" spans="1:13" x14ac:dyDescent="0.25">
      <c r="A23" s="92" t="s">
        <v>437</v>
      </c>
      <c r="B23" s="92" t="s">
        <v>438</v>
      </c>
      <c r="C23" s="92" t="s">
        <v>398</v>
      </c>
      <c r="D23" s="92" t="s">
        <v>500</v>
      </c>
      <c r="E23" s="93">
        <v>2208.9</v>
      </c>
      <c r="F23" s="98" t="str">
        <f t="shared" si="2"/>
        <v>00048</v>
      </c>
      <c r="G23" s="31" t="str">
        <f t="shared" si="0"/>
        <v xml:space="preserve">Хамматов Карим Ирекович                           </v>
      </c>
      <c r="H23" s="31" t="str">
        <f t="shared" si="3"/>
        <v>8а род март</v>
      </c>
      <c r="I23" s="94" t="s">
        <v>387</v>
      </c>
      <c r="J23" s="31">
        <v>92701000</v>
      </c>
      <c r="M23" s="31">
        <f t="shared" si="1"/>
        <v>2208.9</v>
      </c>
    </row>
    <row r="24" spans="1:13" x14ac:dyDescent="0.25">
      <c r="A24" s="92" t="s">
        <v>439</v>
      </c>
      <c r="B24" s="92" t="s">
        <v>440</v>
      </c>
      <c r="C24" s="92" t="s">
        <v>398</v>
      </c>
      <c r="D24" s="92" t="s">
        <v>500</v>
      </c>
      <c r="E24" s="93">
        <v>5218.18</v>
      </c>
      <c r="F24" s="98" t="str">
        <f t="shared" si="2"/>
        <v>00050</v>
      </c>
      <c r="G24" s="31" t="str">
        <f t="shared" si="0"/>
        <v xml:space="preserve">Шайхутдинов Амир Эдуардович                       </v>
      </c>
      <c r="H24" s="31" t="str">
        <f t="shared" si="3"/>
        <v>8а род март</v>
      </c>
      <c r="I24" s="94" t="s">
        <v>387</v>
      </c>
      <c r="J24" s="31">
        <v>92701000</v>
      </c>
      <c r="M24" s="31">
        <f t="shared" si="1"/>
        <v>5218.18</v>
      </c>
    </row>
    <row r="25" spans="1:13" x14ac:dyDescent="0.25">
      <c r="A25" s="92" t="s">
        <v>441</v>
      </c>
      <c r="B25" s="92" t="s">
        <v>442</v>
      </c>
      <c r="C25" s="92" t="s">
        <v>398</v>
      </c>
      <c r="D25" s="92" t="s">
        <v>500</v>
      </c>
      <c r="E25" s="93">
        <v>2083.69</v>
      </c>
      <c r="F25" s="98" t="str">
        <f t="shared" si="2"/>
        <v>000711</v>
      </c>
      <c r="G25" s="31" t="str">
        <f t="shared" si="0"/>
        <v xml:space="preserve">Шакиров Раиль Идрисович                           </v>
      </c>
      <c r="H25" s="31" t="str">
        <f t="shared" si="3"/>
        <v>8а род март</v>
      </c>
      <c r="I25" s="94" t="s">
        <v>387</v>
      </c>
      <c r="J25" s="31">
        <v>92701000</v>
      </c>
      <c r="M25" s="31">
        <f t="shared" si="1"/>
        <v>2083.69</v>
      </c>
    </row>
    <row r="26" spans="1:13" x14ac:dyDescent="0.25">
      <c r="A26" s="92" t="s">
        <v>441</v>
      </c>
      <c r="B26" s="92" t="s">
        <v>442</v>
      </c>
      <c r="C26" s="92" t="s">
        <v>398</v>
      </c>
      <c r="D26" s="92" t="s">
        <v>463</v>
      </c>
      <c r="E26" s="93">
        <v>2331.96</v>
      </c>
      <c r="F26" s="98" t="str">
        <f t="shared" si="2"/>
        <v>000711</v>
      </c>
      <c r="G26" s="31" t="str">
        <f t="shared" si="0"/>
        <v xml:space="preserve">Шакиров Раиль Идрисович                           </v>
      </c>
      <c r="H26" s="31" t="str">
        <f t="shared" si="3"/>
        <v>8а род январь</v>
      </c>
      <c r="I26" s="94" t="s">
        <v>387</v>
      </c>
      <c r="J26" s="31">
        <v>92701000</v>
      </c>
      <c r="M26" s="31">
        <f t="shared" si="1"/>
        <v>2331.96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387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387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387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29"/>
  <sheetViews>
    <sheetView tabSelected="1" workbookViewId="0">
      <pane ySplit="6" topLeftCell="A7" activePane="bottomLeft" state="frozen"/>
      <selection activeCell="A2" sqref="A2"/>
      <selection pane="bottomLeft" activeCell="A24" sqref="A24:XFD24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1657032924_03234643927010001100__22.03.2023.TXT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81726.239999999991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23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443</v>
      </c>
      <c r="B7" s="84" t="s">
        <v>397</v>
      </c>
      <c r="C7" s="84" t="s">
        <v>503</v>
      </c>
      <c r="D7" s="84" t="s">
        <v>387</v>
      </c>
      <c r="E7" s="87">
        <v>92701000</v>
      </c>
      <c r="F7" s="84"/>
      <c r="G7" s="84"/>
      <c r="H7" s="86">
        <v>2309.0700000000002</v>
      </c>
    </row>
    <row r="8" spans="1:8" x14ac:dyDescent="0.25">
      <c r="A8" s="95" t="s">
        <v>444</v>
      </c>
      <c r="B8" s="95" t="s">
        <v>400</v>
      </c>
      <c r="C8" s="95" t="s">
        <v>503</v>
      </c>
      <c r="D8" s="95" t="s">
        <v>387</v>
      </c>
      <c r="E8" s="95">
        <v>92701000</v>
      </c>
      <c r="F8" s="95"/>
      <c r="G8" s="95"/>
      <c r="H8" s="96">
        <v>2309.0700000000002</v>
      </c>
    </row>
    <row r="9" spans="1:8" x14ac:dyDescent="0.25">
      <c r="A9" s="95" t="s">
        <v>445</v>
      </c>
      <c r="B9" s="95" t="s">
        <v>402</v>
      </c>
      <c r="C9" s="95" t="s">
        <v>503</v>
      </c>
      <c r="D9" s="95" t="s">
        <v>387</v>
      </c>
      <c r="E9" s="95">
        <v>92701000</v>
      </c>
      <c r="F9" s="95"/>
      <c r="G9" s="95"/>
      <c r="H9" s="96">
        <v>2309.0700000000002</v>
      </c>
    </row>
    <row r="10" spans="1:8" x14ac:dyDescent="0.25">
      <c r="A10" s="95" t="s">
        <v>446</v>
      </c>
      <c r="B10" s="95" t="s">
        <v>404</v>
      </c>
      <c r="C10" s="95" t="s">
        <v>503</v>
      </c>
      <c r="D10" s="95" t="s">
        <v>387</v>
      </c>
      <c r="E10" s="95">
        <v>92701000</v>
      </c>
      <c r="F10" s="95"/>
      <c r="G10" s="95"/>
      <c r="H10" s="96">
        <v>2309.0700000000002</v>
      </c>
    </row>
    <row r="11" spans="1:8" x14ac:dyDescent="0.25">
      <c r="A11" s="95" t="s">
        <v>447</v>
      </c>
      <c r="B11" s="95" t="s">
        <v>406</v>
      </c>
      <c r="C11" s="95" t="s">
        <v>503</v>
      </c>
      <c r="D11" s="95" t="s">
        <v>387</v>
      </c>
      <c r="E11" s="95">
        <v>92701000</v>
      </c>
      <c r="F11" s="95"/>
      <c r="G11" s="95"/>
      <c r="H11" s="96">
        <v>2492.56</v>
      </c>
    </row>
    <row r="12" spans="1:8" x14ac:dyDescent="0.25">
      <c r="A12" s="95" t="s">
        <v>448</v>
      </c>
      <c r="B12" s="95" t="s">
        <v>408</v>
      </c>
      <c r="C12" s="95" t="s">
        <v>503</v>
      </c>
      <c r="D12" s="95" t="s">
        <v>387</v>
      </c>
      <c r="E12" s="95">
        <v>92701000</v>
      </c>
      <c r="F12" s="95"/>
      <c r="G12" s="95"/>
      <c r="H12" s="96">
        <v>4867.45</v>
      </c>
    </row>
    <row r="13" spans="1:8" x14ac:dyDescent="0.25">
      <c r="A13" s="95" t="s">
        <v>449</v>
      </c>
      <c r="B13" s="95" t="s">
        <v>410</v>
      </c>
      <c r="C13" s="95" t="s">
        <v>503</v>
      </c>
      <c r="D13" s="95" t="s">
        <v>387</v>
      </c>
      <c r="E13" s="95">
        <v>92701000</v>
      </c>
      <c r="F13" s="95"/>
      <c r="G13" s="95"/>
      <c r="H13" s="96">
        <v>2309.0700000000002</v>
      </c>
    </row>
    <row r="14" spans="1:8" x14ac:dyDescent="0.25">
      <c r="A14" s="95" t="s">
        <v>450</v>
      </c>
      <c r="B14" s="95" t="s">
        <v>412</v>
      </c>
      <c r="C14" s="95" t="s">
        <v>503</v>
      </c>
      <c r="D14" s="95" t="s">
        <v>387</v>
      </c>
      <c r="E14" s="95">
        <v>92701000</v>
      </c>
      <c r="F14" s="95"/>
      <c r="G14" s="95"/>
      <c r="H14" s="96">
        <v>2287.44</v>
      </c>
    </row>
    <row r="15" spans="1:8" x14ac:dyDescent="0.25">
      <c r="A15" s="95" t="s">
        <v>451</v>
      </c>
      <c r="B15" s="95" t="s">
        <v>414</v>
      </c>
      <c r="C15" s="95" t="s">
        <v>503</v>
      </c>
      <c r="D15" s="95" t="s">
        <v>387</v>
      </c>
      <c r="E15" s="95">
        <v>92701000</v>
      </c>
      <c r="F15" s="95"/>
      <c r="G15" s="95"/>
      <c r="H15" s="96">
        <v>6963.14</v>
      </c>
    </row>
    <row r="16" spans="1:8" x14ac:dyDescent="0.25">
      <c r="A16" s="95" t="s">
        <v>452</v>
      </c>
      <c r="B16" s="95" t="s">
        <v>416</v>
      </c>
      <c r="C16" s="95" t="s">
        <v>503</v>
      </c>
      <c r="D16" s="95" t="s">
        <v>387</v>
      </c>
      <c r="E16" s="95">
        <v>92701000</v>
      </c>
      <c r="F16" s="95"/>
      <c r="G16" s="95"/>
      <c r="H16" s="96">
        <v>4849.07</v>
      </c>
    </row>
    <row r="17" spans="1:8" x14ac:dyDescent="0.25">
      <c r="A17" s="95" t="s">
        <v>453</v>
      </c>
      <c r="B17" s="95" t="s">
        <v>418</v>
      </c>
      <c r="C17" s="95" t="s">
        <v>503</v>
      </c>
      <c r="D17" s="95" t="s">
        <v>387</v>
      </c>
      <c r="E17" s="95">
        <v>92701000</v>
      </c>
      <c r="F17" s="95"/>
      <c r="G17" s="95"/>
      <c r="H17" s="96">
        <v>2492.56</v>
      </c>
    </row>
    <row r="18" spans="1:8" x14ac:dyDescent="0.25">
      <c r="A18" s="95" t="s">
        <v>419</v>
      </c>
      <c r="B18" s="95" t="s">
        <v>420</v>
      </c>
      <c r="C18" s="95" t="s">
        <v>503</v>
      </c>
      <c r="D18" s="95" t="s">
        <v>387</v>
      </c>
      <c r="E18" s="95">
        <v>92701000</v>
      </c>
      <c r="F18" s="95"/>
      <c r="G18" s="95"/>
      <c r="H18" s="96">
        <v>5180.7</v>
      </c>
    </row>
    <row r="19" spans="1:8" x14ac:dyDescent="0.25">
      <c r="A19" s="95" t="s">
        <v>454</v>
      </c>
      <c r="B19" s="95" t="s">
        <v>422</v>
      </c>
      <c r="C19" s="95" t="s">
        <v>503</v>
      </c>
      <c r="D19" s="95" t="s">
        <v>387</v>
      </c>
      <c r="E19" s="95">
        <v>92701000</v>
      </c>
      <c r="F19" s="95"/>
      <c r="G19" s="95"/>
      <c r="H19" s="96">
        <v>2492.56</v>
      </c>
    </row>
    <row r="20" spans="1:8" x14ac:dyDescent="0.25">
      <c r="A20" s="95" t="s">
        <v>455</v>
      </c>
      <c r="B20" s="95" t="s">
        <v>424</v>
      </c>
      <c r="C20" s="95" t="s">
        <v>503</v>
      </c>
      <c r="D20" s="95" t="s">
        <v>387</v>
      </c>
      <c r="E20" s="95">
        <v>92701000</v>
      </c>
      <c r="F20" s="95"/>
      <c r="G20" s="95"/>
      <c r="H20" s="96">
        <v>4867.45</v>
      </c>
    </row>
    <row r="21" spans="1:8" x14ac:dyDescent="0.25">
      <c r="A21" s="95" t="s">
        <v>456</v>
      </c>
      <c r="B21" s="95" t="s">
        <v>426</v>
      </c>
      <c r="C21" s="95" t="s">
        <v>503</v>
      </c>
      <c r="D21" s="95" t="s">
        <v>387</v>
      </c>
      <c r="E21" s="95">
        <v>92701000</v>
      </c>
      <c r="F21" s="95"/>
      <c r="G21" s="95"/>
      <c r="H21" s="96">
        <v>2492.56</v>
      </c>
    </row>
    <row r="22" spans="1:8" x14ac:dyDescent="0.25">
      <c r="A22" s="95" t="s">
        <v>457</v>
      </c>
      <c r="B22" s="95" t="s">
        <v>428</v>
      </c>
      <c r="C22" s="95" t="s">
        <v>503</v>
      </c>
      <c r="D22" s="95" t="s">
        <v>387</v>
      </c>
      <c r="E22" s="95">
        <v>92701000</v>
      </c>
      <c r="F22" s="95"/>
      <c r="G22" s="95"/>
      <c r="H22" s="96">
        <v>2309.0700000000002</v>
      </c>
    </row>
    <row r="23" spans="1:8" x14ac:dyDescent="0.25">
      <c r="A23" s="95" t="s">
        <v>458</v>
      </c>
      <c r="B23" s="95" t="s">
        <v>430</v>
      </c>
      <c r="C23" s="95" t="s">
        <v>503</v>
      </c>
      <c r="D23" s="95" t="s">
        <v>387</v>
      </c>
      <c r="E23" s="95">
        <v>92701000</v>
      </c>
      <c r="F23" s="95"/>
      <c r="G23" s="95"/>
      <c r="H23" s="96">
        <v>10309.16</v>
      </c>
    </row>
    <row r="24" spans="1:8" s="59" customFormat="1" x14ac:dyDescent="0.25">
      <c r="A24" s="95" t="s">
        <v>459</v>
      </c>
      <c r="B24" s="95" t="s">
        <v>434</v>
      </c>
      <c r="C24" s="95" t="s">
        <v>503</v>
      </c>
      <c r="D24" s="95" t="s">
        <v>387</v>
      </c>
      <c r="E24" s="95">
        <v>92701000</v>
      </c>
      <c r="F24" s="95"/>
      <c r="G24" s="95"/>
      <c r="H24" s="96">
        <v>5192.25</v>
      </c>
    </row>
    <row r="25" spans="1:8" x14ac:dyDescent="0.25">
      <c r="A25" s="95" t="s">
        <v>460</v>
      </c>
      <c r="B25" s="95" t="s">
        <v>436</v>
      </c>
      <c r="C25" s="95" t="s">
        <v>503</v>
      </c>
      <c r="D25" s="95" t="s">
        <v>387</v>
      </c>
      <c r="E25" s="95">
        <v>92701000</v>
      </c>
      <c r="F25" s="95"/>
      <c r="G25" s="95"/>
      <c r="H25" s="96">
        <v>2309.0700000000002</v>
      </c>
    </row>
    <row r="26" spans="1:8" x14ac:dyDescent="0.25">
      <c r="A26" s="95" t="s">
        <v>501</v>
      </c>
      <c r="B26" s="95" t="s">
        <v>502</v>
      </c>
      <c r="C26" s="95" t="s">
        <v>503</v>
      </c>
      <c r="D26" s="95" t="s">
        <v>387</v>
      </c>
      <c r="E26" s="95">
        <v>92701000</v>
      </c>
      <c r="F26" s="95"/>
      <c r="G26" s="95"/>
      <c r="H26" s="96">
        <v>1565.08</v>
      </c>
    </row>
    <row r="27" spans="1:8" x14ac:dyDescent="0.25">
      <c r="A27" s="95" t="s">
        <v>461</v>
      </c>
      <c r="B27" s="95" t="s">
        <v>438</v>
      </c>
      <c r="C27" s="95" t="s">
        <v>503</v>
      </c>
      <c r="D27" s="95" t="s">
        <v>387</v>
      </c>
      <c r="E27" s="95">
        <v>92701000</v>
      </c>
      <c r="F27" s="95"/>
      <c r="G27" s="95"/>
      <c r="H27" s="96">
        <v>2208.9</v>
      </c>
    </row>
    <row r="28" spans="1:8" x14ac:dyDescent="0.25">
      <c r="A28" s="95" t="s">
        <v>462</v>
      </c>
      <c r="B28" s="95" t="s">
        <v>440</v>
      </c>
      <c r="C28" s="95" t="s">
        <v>503</v>
      </c>
      <c r="D28" s="95" t="s">
        <v>387</v>
      </c>
      <c r="E28" s="95">
        <v>92701000</v>
      </c>
      <c r="F28" s="95"/>
      <c r="G28" s="95"/>
      <c r="H28" s="96">
        <v>5218.18</v>
      </c>
    </row>
    <row r="29" spans="1:8" x14ac:dyDescent="0.25">
      <c r="A29" s="95" t="s">
        <v>441</v>
      </c>
      <c r="B29" s="95" t="s">
        <v>442</v>
      </c>
      <c r="C29" s="95" t="s">
        <v>503</v>
      </c>
      <c r="D29" s="95" t="s">
        <v>387</v>
      </c>
      <c r="E29" s="95">
        <v>92701000</v>
      </c>
      <c r="F29" s="95"/>
      <c r="G29" s="95"/>
      <c r="H29" s="96">
        <v>2083.69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29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29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29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29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29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 t="str">
        <f>"ИНН "&amp;INN&amp;", БИК "&amp;BIC&amp;", Р/С "&amp;PersonalAcc</f>
        <v>ИНН 1657032924, БИК 019205400, Р/С 03234643927010001100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 t="str">
        <f>"ИНН "&amp;INN&amp;", БИК "&amp;BIC&amp;", Р/С "&amp;PersonalAcc</f>
        <v>ИНН 1657032924, БИК 019205400, Р/С 03234643927010001100</v>
      </c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 t="str">
        <f>"ИНН "&amp;INN&amp;", БИК "&amp;BIC&amp;", Р/С "&amp;PersonalAcc</f>
        <v>ИНН 1657032924, БИК 019205400, Р/С 03234643927010001100</v>
      </c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 t="str">
        <f>"ИНН "&amp;INN&amp;", БИК "&amp;BIC&amp;", Р/С "&amp;PersonalAcc</f>
        <v>ИНН 1657032924, БИК 019205400, Р/С 03234643927010001100</v>
      </c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 t="str">
        <f>"ИНН "&amp;INN&amp;", БИК "&amp;BIC&amp;", Р/С "&amp;PersonalAcc</f>
        <v>ИНН 1657032924, БИК 019205400, Р/С 03234643927010001100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 t="str">
        <f>"ИНН "&amp;INN&amp;", БИК "&amp;BIC&amp;", Р/С "&amp;PersonalAcc</f>
        <v>ИНН 1657032924, БИК 019205400, Р/С 03234643927010001100</v>
      </c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48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464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465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464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465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466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465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466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465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467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465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467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465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468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469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468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469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470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465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470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465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471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472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471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472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473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474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473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474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475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465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475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465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476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477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476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477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478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479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478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479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480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465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480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465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481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482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481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482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483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484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483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484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485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474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485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474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486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474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486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474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487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474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487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474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488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465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488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465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489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490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489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490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491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492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491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492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493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472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493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472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494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495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494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495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496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497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496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497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498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474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498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474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4" t="s">
        <v>95</v>
      </c>
      <c r="B621" s="114"/>
      <c r="C621" s="114"/>
    </row>
    <row r="622" spans="1:3" ht="10.5" customHeight="1" x14ac:dyDescent="0.25">
      <c r="A622" s="61"/>
      <c r="B622" s="62"/>
      <c r="C622" s="81" t="s">
        <v>104</v>
      </c>
    </row>
    <row r="623" spans="1:3" ht="24.75" x14ac:dyDescent="0.25">
      <c r="A623" s="63"/>
      <c r="B623" s="64" t="s">
        <v>42</v>
      </c>
      <c r="C62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24" spans="1:3" ht="8.25" customHeight="1" x14ac:dyDescent="0.25">
      <c r="A624" s="63"/>
      <c r="B624" s="65"/>
      <c r="C624" s="66" t="s">
        <v>43</v>
      </c>
    </row>
    <row r="625" spans="1:3" ht="14.25" customHeight="1" x14ac:dyDescent="0.25">
      <c r="A625" s="63"/>
      <c r="B625" s="65"/>
      <c r="C625" s="67" t="str">
        <f>"  ИНН "&amp;INN&amp;" КПП "&amp;KPP&amp;"                         "&amp;PersonalAcc</f>
        <v xml:space="preserve">  ИНН 1657032924 КПП 165701001                         03234643927010001100</v>
      </c>
    </row>
    <row r="626" spans="1:3" ht="9.75" customHeight="1" x14ac:dyDescent="0.25">
      <c r="A626" s="63"/>
      <c r="B626" s="65"/>
      <c r="C626" s="68" t="s">
        <v>44</v>
      </c>
    </row>
    <row r="627" spans="1:3" ht="23.25" x14ac:dyDescent="0.25">
      <c r="A627" s="63"/>
      <c r="B627" s="65"/>
      <c r="C62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28" spans="1:3" ht="8.25" customHeight="1" x14ac:dyDescent="0.25">
      <c r="A628" s="63"/>
      <c r="B628" s="65"/>
      <c r="C628" s="66" t="s">
        <v>45</v>
      </c>
    </row>
    <row r="629" spans="1:3" ht="26.85" customHeight="1" x14ac:dyDescent="0.25">
      <c r="A629" s="63"/>
      <c r="B629" s="65"/>
      <c r="C629" s="34" t="s">
        <v>499</v>
      </c>
    </row>
    <row r="630" spans="1:3" ht="9" customHeight="1" x14ac:dyDescent="0.25">
      <c r="A630" s="63"/>
      <c r="B630" s="65"/>
      <c r="C630" s="66" t="s">
        <v>51</v>
      </c>
    </row>
    <row r="631" spans="1:3" x14ac:dyDescent="0.25">
      <c r="A631" s="63"/>
      <c r="B631" s="65"/>
      <c r="C631" s="69" t="s">
        <v>477</v>
      </c>
    </row>
    <row r="632" spans="1:3" ht="9" customHeight="1" x14ac:dyDescent="0.25">
      <c r="A632" s="63"/>
      <c r="B632" s="70"/>
      <c r="C632" s="71" t="s">
        <v>52</v>
      </c>
    </row>
    <row r="633" spans="1:3" x14ac:dyDescent="0.25">
      <c r="A633" s="63"/>
      <c r="B633" s="65"/>
      <c r="C633" s="72" t="s">
        <v>46</v>
      </c>
    </row>
    <row r="634" spans="1:3" x14ac:dyDescent="0.25">
      <c r="A634" s="73"/>
      <c r="B634" s="74"/>
      <c r="C634" s="75" t="s">
        <v>102</v>
      </c>
    </row>
    <row r="635" spans="1:3" ht="10.5" customHeight="1" x14ac:dyDescent="0.25">
      <c r="A635" s="63"/>
      <c r="B635" s="65"/>
      <c r="C635" s="81" t="s">
        <v>105</v>
      </c>
    </row>
    <row r="636" spans="1:3" ht="24.75" x14ac:dyDescent="0.25">
      <c r="A636" s="63"/>
      <c r="B636" s="64" t="s">
        <v>47</v>
      </c>
      <c r="C636" s="33" t="str">
        <f>C623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37" spans="1:3" ht="8.25" customHeight="1" x14ac:dyDescent="0.25">
      <c r="A637" s="63"/>
      <c r="B637" s="65"/>
      <c r="C637" s="66" t="s">
        <v>43</v>
      </c>
    </row>
    <row r="638" spans="1:3" ht="14.25" customHeight="1" x14ac:dyDescent="0.25">
      <c r="A638" s="63"/>
      <c r="B638" s="65"/>
      <c r="C638" s="67" t="str">
        <f>C625</f>
        <v xml:space="preserve">  ИНН 1657032924 КПП 165701001                         03234643927010001100</v>
      </c>
    </row>
    <row r="639" spans="1:3" ht="9.75" customHeight="1" x14ac:dyDescent="0.25">
      <c r="A639" s="63"/>
      <c r="B639" s="65"/>
      <c r="C639" s="68" t="s">
        <v>103</v>
      </c>
    </row>
    <row r="640" spans="1:3" ht="23.25" x14ac:dyDescent="0.25">
      <c r="A640" s="63"/>
      <c r="B640" s="65"/>
      <c r="C640" s="32" t="str">
        <f>C627</f>
        <v>БИК 019205400 (ОТДЕЛЕНИЕ-НБ РЕСПУБЛИКА ТАТАРСТАН БАНКА РОССИИ//УФК по Республике Татарстан г Казань)</v>
      </c>
    </row>
    <row r="641" spans="1:3" ht="8.25" customHeight="1" x14ac:dyDescent="0.25">
      <c r="A641" s="63"/>
      <c r="B641" s="65"/>
      <c r="C641" s="66" t="s">
        <v>48</v>
      </c>
    </row>
    <row r="642" spans="1:3" ht="26.85" customHeight="1" x14ac:dyDescent="0.25">
      <c r="A642" s="63"/>
      <c r="B642" s="65"/>
      <c r="C642" s="60" t="s">
        <v>499</v>
      </c>
    </row>
    <row r="643" spans="1:3" ht="9" customHeight="1" x14ac:dyDescent="0.25">
      <c r="A643" s="63"/>
      <c r="B643" s="65"/>
      <c r="C643" s="76" t="s">
        <v>51</v>
      </c>
    </row>
    <row r="644" spans="1:3" x14ac:dyDescent="0.25">
      <c r="A644" s="63"/>
      <c r="B644" s="77"/>
      <c r="C644" s="69" t="s">
        <v>477</v>
      </c>
    </row>
    <row r="645" spans="1:3" ht="9" customHeight="1" x14ac:dyDescent="0.25">
      <c r="A645" s="63"/>
      <c r="B645" s="77"/>
      <c r="C645" s="78" t="s">
        <v>52</v>
      </c>
    </row>
    <row r="646" spans="1:3" x14ac:dyDescent="0.25">
      <c r="A646" s="63"/>
      <c r="B646" s="77"/>
      <c r="C646" s="72" t="s">
        <v>46</v>
      </c>
    </row>
    <row r="647" spans="1:3" x14ac:dyDescent="0.25">
      <c r="A647" s="73"/>
      <c r="B647" s="79"/>
      <c r="C647" s="75" t="s">
        <v>102</v>
      </c>
    </row>
    <row r="648" spans="1:3" x14ac:dyDescent="0.25">
      <c r="A648" s="114" t="s">
        <v>95</v>
      </c>
      <c r="B648" s="114"/>
      <c r="C648" s="114"/>
    </row>
  </sheetData>
  <mergeCells count="24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648:C648"/>
    <mergeCell ref="A351:C351"/>
    <mergeCell ref="A378:C378"/>
    <mergeCell ref="A405:C405"/>
    <mergeCell ref="A432:C432"/>
    <mergeCell ref="A459:C459"/>
    <mergeCell ref="A486:C486"/>
    <mergeCell ref="A513:C513"/>
    <mergeCell ref="A540:C540"/>
    <mergeCell ref="A567:C567"/>
    <mergeCell ref="A594:C594"/>
    <mergeCell ref="A621:C621"/>
  </mergeCells>
  <pageMargins left="0.19685039370078741" right="0.39370078740157483" top="0.39370078740157483" bottom="0.59055118110236227" header="0" footer="0"/>
  <pageSetup paperSize="9" fitToHeight="12" orientation="portrait" r:id="rId1"/>
  <rowBreaks count="24" manualBreakCount="24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  <brk id="64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6" t="s">
        <v>128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156"/>
      <c r="CX1" s="156"/>
      <c r="CY1" s="156"/>
      <c r="CZ1" s="156"/>
      <c r="DA1" s="156"/>
      <c r="DB1" s="156"/>
      <c r="DC1" s="156"/>
      <c r="DD1" s="156"/>
      <c r="DE1" s="156"/>
      <c r="DF1" s="156"/>
      <c r="DG1" s="156"/>
      <c r="DH1" s="156"/>
      <c r="DI1" s="156"/>
      <c r="DJ1" s="156"/>
      <c r="DK1" s="156"/>
      <c r="DL1" s="156"/>
      <c r="DM1" s="156"/>
      <c r="DN1" s="156"/>
      <c r="DO1" s="156"/>
      <c r="DP1" s="156"/>
      <c r="DQ1" s="156"/>
      <c r="DR1" s="156"/>
      <c r="DS1" s="156"/>
      <c r="DT1" s="156"/>
      <c r="DU1" s="156"/>
      <c r="DV1" s="156"/>
      <c r="DW1" s="156"/>
      <c r="DX1" s="156"/>
      <c r="DY1" s="156"/>
      <c r="DZ1" s="156"/>
      <c r="EA1" s="156"/>
      <c r="EB1" s="156"/>
      <c r="EC1" s="156"/>
      <c r="ED1" s="156"/>
      <c r="EE1" s="156"/>
      <c r="EF1" s="156"/>
      <c r="EG1" s="156"/>
      <c r="EH1" s="156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6" t="s">
        <v>129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  <c r="DC2" s="156"/>
      <c r="DD2" s="156"/>
      <c r="DE2" s="156"/>
      <c r="DF2" s="156"/>
      <c r="DG2" s="156"/>
      <c r="DH2" s="156"/>
      <c r="DI2" s="156"/>
      <c r="DJ2" s="156"/>
      <c r="DK2" s="156"/>
      <c r="DL2" s="156"/>
      <c r="DM2" s="156"/>
      <c r="DN2" s="156"/>
      <c r="DO2" s="156"/>
      <c r="DP2" s="156"/>
      <c r="DQ2" s="156"/>
      <c r="DR2" s="156"/>
      <c r="DS2" s="156"/>
      <c r="DT2" s="156"/>
      <c r="DU2" s="156"/>
      <c r="DV2" s="156"/>
      <c r="DW2" s="156"/>
      <c r="DX2" s="156"/>
      <c r="DY2" s="156"/>
      <c r="DZ2" s="156"/>
      <c r="EA2" s="156"/>
      <c r="EB2" s="156"/>
      <c r="EC2" s="156"/>
      <c r="ED2" s="156"/>
      <c r="EE2" s="156"/>
      <c r="EF2" s="156"/>
      <c r="EG2" s="156"/>
      <c r="EH2" s="156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37" t="s">
        <v>134</v>
      </c>
      <c r="BO5" s="46"/>
      <c r="BP5" s="52"/>
      <c r="BQ5" s="52"/>
      <c r="BR5" s="52"/>
      <c r="BZ5" s="115" t="s">
        <v>153</v>
      </c>
      <c r="CA5" s="116"/>
      <c r="CB5" s="116"/>
      <c r="CC5" s="116"/>
      <c r="CD5" s="116"/>
      <c r="CE5" s="116"/>
      <c r="CF5" s="116"/>
      <c r="CG5" s="116"/>
      <c r="CH5" s="116"/>
      <c r="CI5" s="117"/>
      <c r="CJ5" s="115" t="s">
        <v>154</v>
      </c>
      <c r="CK5" s="116"/>
      <c r="CL5" s="116"/>
      <c r="CM5" s="116"/>
      <c r="CN5" s="116"/>
      <c r="CO5" s="116"/>
      <c r="CP5" s="117"/>
      <c r="CQ5" s="115" t="s">
        <v>155</v>
      </c>
      <c r="CR5" s="116"/>
      <c r="CS5" s="116"/>
      <c r="CT5" s="116"/>
      <c r="CU5" s="116"/>
      <c r="CV5" s="116"/>
      <c r="CW5" s="116"/>
      <c r="CX5" s="116"/>
      <c r="CY5" s="117"/>
      <c r="CZ5" s="115" t="s">
        <v>156</v>
      </c>
      <c r="DA5" s="116"/>
      <c r="DB5" s="116"/>
      <c r="DC5" s="116"/>
      <c r="DD5" s="116"/>
      <c r="DE5" s="116"/>
      <c r="DF5" s="116"/>
      <c r="DG5" s="116"/>
      <c r="DH5" s="117"/>
      <c r="DI5" s="115" t="s">
        <v>157</v>
      </c>
      <c r="DJ5" s="116"/>
      <c r="DK5" s="116"/>
      <c r="DL5" s="116"/>
      <c r="DM5" s="116"/>
      <c r="DN5" s="116"/>
      <c r="DO5" s="116"/>
      <c r="DP5" s="117"/>
      <c r="DQ5" s="115" t="s">
        <v>158</v>
      </c>
      <c r="DR5" s="116"/>
      <c r="DS5" s="116"/>
      <c r="DT5" s="116"/>
      <c r="DU5" s="116"/>
      <c r="DV5" s="116"/>
      <c r="DW5" s="116"/>
      <c r="DX5" s="117"/>
      <c r="DY5" s="115" t="s">
        <v>159</v>
      </c>
      <c r="DZ5" s="116"/>
      <c r="EA5" s="116"/>
      <c r="EB5" s="116"/>
      <c r="EC5" s="116"/>
      <c r="ED5" s="116"/>
      <c r="EE5" s="116"/>
      <c r="EF5" s="116"/>
      <c r="EG5" s="116"/>
      <c r="EH5" s="117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8"/>
      <c r="CA6" s="119"/>
      <c r="CB6" s="119"/>
      <c r="CC6" s="119"/>
      <c r="CD6" s="119"/>
      <c r="CE6" s="119"/>
      <c r="CF6" s="119"/>
      <c r="CG6" s="119"/>
      <c r="CH6" s="119"/>
      <c r="CI6" s="120"/>
      <c r="CJ6" s="118"/>
      <c r="CK6" s="119"/>
      <c r="CL6" s="119"/>
      <c r="CM6" s="119"/>
      <c r="CN6" s="119"/>
      <c r="CO6" s="119"/>
      <c r="CP6" s="120"/>
      <c r="CQ6" s="118"/>
      <c r="CR6" s="119"/>
      <c r="CS6" s="119"/>
      <c r="CT6" s="119"/>
      <c r="CU6" s="119"/>
      <c r="CV6" s="119"/>
      <c r="CW6" s="119"/>
      <c r="CX6" s="119"/>
      <c r="CY6" s="120"/>
      <c r="CZ6" s="118"/>
      <c r="DA6" s="119"/>
      <c r="DB6" s="119"/>
      <c r="DC6" s="119"/>
      <c r="DD6" s="119"/>
      <c r="DE6" s="119"/>
      <c r="DF6" s="119"/>
      <c r="DG6" s="119"/>
      <c r="DH6" s="120"/>
      <c r="DI6" s="118"/>
      <c r="DJ6" s="119"/>
      <c r="DK6" s="119"/>
      <c r="DL6" s="119"/>
      <c r="DM6" s="119"/>
      <c r="DN6" s="119"/>
      <c r="DO6" s="119"/>
      <c r="DP6" s="120"/>
      <c r="DQ6" s="118"/>
      <c r="DR6" s="119"/>
      <c r="DS6" s="119"/>
      <c r="DT6" s="119"/>
      <c r="DU6" s="119"/>
      <c r="DV6" s="119"/>
      <c r="DW6" s="119"/>
      <c r="DX6" s="120"/>
      <c r="DY6" s="118"/>
      <c r="DZ6" s="119"/>
      <c r="EA6" s="119"/>
      <c r="EB6" s="119"/>
      <c r="EC6" s="119"/>
      <c r="ED6" s="119"/>
      <c r="EE6" s="119"/>
      <c r="EF6" s="119"/>
      <c r="EG6" s="119"/>
      <c r="EH6" s="120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O7" s="46"/>
      <c r="BZ7" s="118"/>
      <c r="CA7" s="119"/>
      <c r="CB7" s="119"/>
      <c r="CC7" s="119"/>
      <c r="CD7" s="119"/>
      <c r="CE7" s="119"/>
      <c r="CF7" s="119"/>
      <c r="CG7" s="119"/>
      <c r="CH7" s="119"/>
      <c r="CI7" s="120"/>
      <c r="CJ7" s="118"/>
      <c r="CK7" s="119"/>
      <c r="CL7" s="119"/>
      <c r="CM7" s="119"/>
      <c r="CN7" s="119"/>
      <c r="CO7" s="119"/>
      <c r="CP7" s="120"/>
      <c r="CQ7" s="118"/>
      <c r="CR7" s="119"/>
      <c r="CS7" s="119"/>
      <c r="CT7" s="119"/>
      <c r="CU7" s="119"/>
      <c r="CV7" s="119"/>
      <c r="CW7" s="119"/>
      <c r="CX7" s="119"/>
      <c r="CY7" s="120"/>
      <c r="CZ7" s="118"/>
      <c r="DA7" s="119"/>
      <c r="DB7" s="119"/>
      <c r="DC7" s="119"/>
      <c r="DD7" s="119"/>
      <c r="DE7" s="119"/>
      <c r="DF7" s="119"/>
      <c r="DG7" s="119"/>
      <c r="DH7" s="120"/>
      <c r="DI7" s="118"/>
      <c r="DJ7" s="119"/>
      <c r="DK7" s="119"/>
      <c r="DL7" s="119"/>
      <c r="DM7" s="119"/>
      <c r="DN7" s="119"/>
      <c r="DO7" s="119"/>
      <c r="DP7" s="120"/>
      <c r="DQ7" s="118"/>
      <c r="DR7" s="119"/>
      <c r="DS7" s="119"/>
      <c r="DT7" s="119"/>
      <c r="DU7" s="119"/>
      <c r="DV7" s="119"/>
      <c r="DW7" s="119"/>
      <c r="DX7" s="120"/>
      <c r="DY7" s="118"/>
      <c r="DZ7" s="119"/>
      <c r="EA7" s="119"/>
      <c r="EB7" s="119"/>
      <c r="EC7" s="119"/>
      <c r="ED7" s="119"/>
      <c r="EE7" s="119"/>
      <c r="EF7" s="119"/>
      <c r="EG7" s="119"/>
      <c r="EH7" s="120"/>
    </row>
    <row r="8" spans="1:167" ht="11.25" customHeight="1" x14ac:dyDescent="0.2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O8" s="46"/>
      <c r="BZ8" s="135"/>
      <c r="CA8" s="136"/>
      <c r="CB8" s="136"/>
      <c r="CC8" s="136"/>
      <c r="CD8" s="136"/>
      <c r="CE8" s="136"/>
      <c r="CF8" s="136"/>
      <c r="CG8" s="136"/>
      <c r="CH8" s="136"/>
      <c r="CI8" s="137"/>
      <c r="CJ8" s="135"/>
      <c r="CK8" s="136"/>
      <c r="CL8" s="136"/>
      <c r="CM8" s="136"/>
      <c r="CN8" s="136"/>
      <c r="CO8" s="136"/>
      <c r="CP8" s="137"/>
      <c r="CQ8" s="135"/>
      <c r="CR8" s="136"/>
      <c r="CS8" s="136"/>
      <c r="CT8" s="136"/>
      <c r="CU8" s="136"/>
      <c r="CV8" s="136"/>
      <c r="CW8" s="136"/>
      <c r="CX8" s="136"/>
      <c r="CY8" s="137"/>
      <c r="CZ8" s="135"/>
      <c r="DA8" s="136"/>
      <c r="DB8" s="136"/>
      <c r="DC8" s="136"/>
      <c r="DD8" s="136"/>
      <c r="DE8" s="136"/>
      <c r="DF8" s="136"/>
      <c r="DG8" s="136"/>
      <c r="DH8" s="137"/>
      <c r="DI8" s="135"/>
      <c r="DJ8" s="136"/>
      <c r="DK8" s="136"/>
      <c r="DL8" s="136"/>
      <c r="DM8" s="136"/>
      <c r="DN8" s="136"/>
      <c r="DO8" s="136"/>
      <c r="DP8" s="137"/>
      <c r="DQ8" s="135"/>
      <c r="DR8" s="136"/>
      <c r="DS8" s="136"/>
      <c r="DT8" s="136"/>
      <c r="DU8" s="136"/>
      <c r="DV8" s="136"/>
      <c r="DW8" s="136"/>
      <c r="DX8" s="137"/>
      <c r="DY8" s="135"/>
      <c r="DZ8" s="136"/>
      <c r="EA8" s="136"/>
      <c r="EB8" s="136"/>
      <c r="EC8" s="136"/>
      <c r="ED8" s="136"/>
      <c r="EE8" s="136"/>
      <c r="EF8" s="136"/>
      <c r="EG8" s="136"/>
      <c r="EH8" s="137"/>
    </row>
    <row r="9" spans="1:167" ht="15" customHeight="1" x14ac:dyDescent="0.2">
      <c r="A9" s="160" t="s">
        <v>143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58"/>
      <c r="S9" s="158"/>
      <c r="T9" s="158"/>
      <c r="U9" s="158"/>
      <c r="V9" s="158"/>
      <c r="W9" s="158"/>
      <c r="X9" s="158"/>
      <c r="Y9" s="158"/>
      <c r="Z9" s="37" t="s">
        <v>144</v>
      </c>
      <c r="AG9" s="160" t="s">
        <v>145</v>
      </c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60"/>
      <c r="AW9" s="160"/>
      <c r="AX9" s="160"/>
      <c r="AY9" s="160"/>
      <c r="AZ9" s="160"/>
      <c r="BA9" s="160"/>
      <c r="BB9" s="158"/>
      <c r="BC9" s="158"/>
      <c r="BD9" s="158"/>
      <c r="BE9" s="158"/>
      <c r="BF9" s="37" t="s">
        <v>146</v>
      </c>
      <c r="BO9" s="46"/>
      <c r="BZ9" s="124">
        <v>1</v>
      </c>
      <c r="CA9" s="125"/>
      <c r="CB9" s="125"/>
      <c r="CC9" s="125"/>
      <c r="CD9" s="125"/>
      <c r="CE9" s="125"/>
      <c r="CF9" s="125"/>
      <c r="CG9" s="125"/>
      <c r="CH9" s="125"/>
      <c r="CI9" s="126"/>
      <c r="CJ9" s="124">
        <v>2</v>
      </c>
      <c r="CK9" s="125"/>
      <c r="CL9" s="125"/>
      <c r="CM9" s="125"/>
      <c r="CN9" s="125"/>
      <c r="CO9" s="125"/>
      <c r="CP9" s="126"/>
      <c r="CQ9" s="124">
        <v>3</v>
      </c>
      <c r="CR9" s="125"/>
      <c r="CS9" s="125"/>
      <c r="CT9" s="125"/>
      <c r="CU9" s="125"/>
      <c r="CV9" s="125"/>
      <c r="CW9" s="125"/>
      <c r="CX9" s="125"/>
      <c r="CY9" s="126"/>
      <c r="CZ9" s="124">
        <v>4</v>
      </c>
      <c r="DA9" s="125"/>
      <c r="DB9" s="125"/>
      <c r="DC9" s="125"/>
      <c r="DD9" s="125"/>
      <c r="DE9" s="125"/>
      <c r="DF9" s="125"/>
      <c r="DG9" s="125"/>
      <c r="DH9" s="126"/>
      <c r="DI9" s="124">
        <v>5</v>
      </c>
      <c r="DJ9" s="125"/>
      <c r="DK9" s="125"/>
      <c r="DL9" s="125"/>
      <c r="DM9" s="125"/>
      <c r="DN9" s="125"/>
      <c r="DO9" s="125"/>
      <c r="DP9" s="126"/>
      <c r="DQ9" s="124">
        <v>6</v>
      </c>
      <c r="DR9" s="125"/>
      <c r="DS9" s="125"/>
      <c r="DT9" s="125"/>
      <c r="DU9" s="125"/>
      <c r="DV9" s="125"/>
      <c r="DW9" s="125"/>
      <c r="DX9" s="126"/>
      <c r="DY9" s="124">
        <v>7</v>
      </c>
      <c r="DZ9" s="125"/>
      <c r="EA9" s="125"/>
      <c r="EB9" s="125"/>
      <c r="EC9" s="125"/>
      <c r="ED9" s="125"/>
      <c r="EE9" s="125"/>
      <c r="EF9" s="125"/>
      <c r="EG9" s="125"/>
      <c r="EH9" s="126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7" t="s">
        <v>160</v>
      </c>
      <c r="CA10" s="128"/>
      <c r="CB10" s="128"/>
      <c r="CC10" s="128"/>
      <c r="CD10" s="128"/>
      <c r="CE10" s="128"/>
      <c r="CF10" s="128"/>
      <c r="CG10" s="128"/>
      <c r="CH10" s="128"/>
      <c r="CI10" s="129"/>
      <c r="CJ10" s="130" t="s">
        <v>161</v>
      </c>
      <c r="CK10" s="131"/>
      <c r="CL10" s="131"/>
      <c r="CM10" s="131"/>
      <c r="CN10" s="131"/>
      <c r="CO10" s="131"/>
      <c r="CP10" s="132"/>
      <c r="CQ10" s="121"/>
      <c r="CR10" s="122"/>
      <c r="CS10" s="122"/>
      <c r="CT10" s="122"/>
      <c r="CU10" s="122"/>
      <c r="CV10" s="122"/>
      <c r="CW10" s="122"/>
      <c r="CX10" s="122"/>
      <c r="CY10" s="123"/>
      <c r="CZ10" s="121"/>
      <c r="DA10" s="122"/>
      <c r="DB10" s="122"/>
      <c r="DC10" s="122"/>
      <c r="DD10" s="122"/>
      <c r="DE10" s="122"/>
      <c r="DF10" s="122"/>
      <c r="DG10" s="122"/>
      <c r="DH10" s="123"/>
      <c r="DI10" s="121"/>
      <c r="DJ10" s="122"/>
      <c r="DK10" s="122"/>
      <c r="DL10" s="122"/>
      <c r="DM10" s="122"/>
      <c r="DN10" s="122"/>
      <c r="DO10" s="122"/>
      <c r="DP10" s="123"/>
      <c r="DQ10" s="121"/>
      <c r="DR10" s="122"/>
      <c r="DS10" s="122"/>
      <c r="DT10" s="122"/>
      <c r="DU10" s="122"/>
      <c r="DV10" s="122"/>
      <c r="DW10" s="122"/>
      <c r="DX10" s="123"/>
      <c r="DY10" s="121"/>
      <c r="DZ10" s="122"/>
      <c r="EA10" s="122"/>
      <c r="EB10" s="122"/>
      <c r="EC10" s="122"/>
      <c r="ED10" s="122"/>
      <c r="EE10" s="122"/>
      <c r="EF10" s="122"/>
      <c r="EG10" s="122"/>
      <c r="EH10" s="123"/>
    </row>
    <row r="11" spans="1:167" ht="18.75" customHeight="1" x14ac:dyDescent="0.2"/>
    <row r="12" spans="1:167" ht="21.75" customHeight="1" x14ac:dyDescent="0.2">
      <c r="C12" s="157" t="s">
        <v>162</v>
      </c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O13" s="115" t="s">
        <v>135</v>
      </c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7"/>
      <c r="BF13" s="115" t="s">
        <v>136</v>
      </c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7"/>
      <c r="CF13" s="115" t="s">
        <v>137</v>
      </c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7"/>
      <c r="CZ13" s="115" t="s">
        <v>138</v>
      </c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7"/>
      <c r="DR13" s="115" t="s">
        <v>139</v>
      </c>
      <c r="DS13" s="116"/>
      <c r="DT13" s="116"/>
      <c r="DU13" s="116"/>
      <c r="DV13" s="116"/>
      <c r="DW13" s="116"/>
      <c r="DX13" s="116"/>
      <c r="DY13" s="116"/>
      <c r="DZ13" s="116"/>
      <c r="EA13" s="116"/>
      <c r="EB13" s="116"/>
      <c r="EC13" s="116"/>
      <c r="ED13" s="116"/>
      <c r="EE13" s="116"/>
      <c r="EF13" s="116"/>
      <c r="EG13" s="116"/>
      <c r="EH13" s="117"/>
    </row>
    <row r="14" spans="1:167" ht="12" customHeight="1" x14ac:dyDescent="0.2">
      <c r="A14" s="44"/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O14" s="118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20"/>
      <c r="BF14" s="118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20"/>
      <c r="CF14" s="118"/>
      <c r="CG14" s="119"/>
      <c r="CH14" s="119"/>
      <c r="CI14" s="119"/>
      <c r="CJ14" s="119"/>
      <c r="CK14" s="119"/>
      <c r="CL14" s="119"/>
      <c r="CM14" s="119"/>
      <c r="CN14" s="119"/>
      <c r="CO14" s="119"/>
      <c r="CP14" s="119"/>
      <c r="CQ14" s="119"/>
      <c r="CR14" s="119"/>
      <c r="CS14" s="119"/>
      <c r="CT14" s="119"/>
      <c r="CU14" s="119"/>
      <c r="CV14" s="119"/>
      <c r="CW14" s="119"/>
      <c r="CX14" s="119"/>
      <c r="CY14" s="120"/>
      <c r="CZ14" s="118"/>
      <c r="DA14" s="119"/>
      <c r="DB14" s="119"/>
      <c r="DC14" s="119"/>
      <c r="DD14" s="119"/>
      <c r="DE14" s="119"/>
      <c r="DF14" s="119"/>
      <c r="DG14" s="119"/>
      <c r="DH14" s="119"/>
      <c r="DI14" s="119"/>
      <c r="DJ14" s="119"/>
      <c r="DK14" s="119"/>
      <c r="DL14" s="119"/>
      <c r="DM14" s="119"/>
      <c r="DN14" s="119"/>
      <c r="DO14" s="119"/>
      <c r="DP14" s="119"/>
      <c r="DQ14" s="120"/>
      <c r="DR14" s="118"/>
      <c r="DS14" s="119"/>
      <c r="DT14" s="119"/>
      <c r="DU14" s="119"/>
      <c r="DV14" s="119"/>
      <c r="DW14" s="119"/>
      <c r="DX14" s="119"/>
      <c r="DY14" s="119"/>
      <c r="DZ14" s="119"/>
      <c r="EA14" s="119"/>
      <c r="EB14" s="119"/>
      <c r="EC14" s="119"/>
      <c r="ED14" s="119"/>
      <c r="EE14" s="119"/>
      <c r="EF14" s="119"/>
      <c r="EG14" s="119"/>
      <c r="EH14" s="120"/>
    </row>
    <row r="15" spans="1:167" ht="18" customHeight="1" x14ac:dyDescent="0.2">
      <c r="A15" s="44"/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O15" s="118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20"/>
      <c r="BF15" s="118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20"/>
      <c r="CF15" s="118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20"/>
      <c r="CZ15" s="118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20"/>
      <c r="DR15" s="118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20"/>
    </row>
    <row r="16" spans="1:167" ht="15" customHeight="1" x14ac:dyDescent="0.2"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O16" s="139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1"/>
      <c r="BF16" s="152"/>
      <c r="BG16" s="153"/>
      <c r="BH16" s="153"/>
      <c r="BI16" s="153"/>
      <c r="BJ16" s="153"/>
      <c r="BK16" s="153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  <c r="CA16" s="153"/>
      <c r="CB16" s="153"/>
      <c r="CC16" s="153"/>
      <c r="CD16" s="153"/>
      <c r="CE16" s="154"/>
      <c r="CF16" s="145"/>
      <c r="CG16" s="133"/>
      <c r="CH16" s="133"/>
      <c r="CI16" s="133"/>
      <c r="CJ16" s="133"/>
      <c r="CK16" s="133"/>
      <c r="CL16" s="133"/>
      <c r="CM16" s="133"/>
      <c r="CN16" s="133"/>
      <c r="CO16" s="133"/>
      <c r="CP16" s="133"/>
      <c r="CQ16" s="133"/>
      <c r="CR16" s="133"/>
      <c r="CS16" s="133"/>
      <c r="CT16" s="133"/>
      <c r="CU16" s="133"/>
      <c r="CV16" s="133"/>
      <c r="CW16" s="133"/>
      <c r="CX16" s="133"/>
      <c r="CY16" s="146"/>
      <c r="CZ16" s="139"/>
      <c r="DA16" s="140"/>
      <c r="DB16" s="140"/>
      <c r="DC16" s="140"/>
      <c r="DD16" s="140"/>
      <c r="DE16" s="140"/>
      <c r="DF16" s="140"/>
      <c r="DG16" s="140"/>
      <c r="DH16" s="140"/>
      <c r="DI16" s="140"/>
      <c r="DJ16" s="140"/>
      <c r="DK16" s="140"/>
      <c r="DL16" s="140"/>
      <c r="DM16" s="140"/>
      <c r="DN16" s="140"/>
      <c r="DO16" s="140"/>
      <c r="DP16" s="140"/>
      <c r="DQ16" s="141"/>
      <c r="DR16" s="148"/>
      <c r="DS16" s="149"/>
      <c r="DT16" s="149"/>
      <c r="DU16" s="149"/>
      <c r="DV16" s="149"/>
      <c r="DW16" s="149"/>
      <c r="DX16" s="149"/>
      <c r="DY16" s="149"/>
      <c r="DZ16" s="149"/>
      <c r="EA16" s="149"/>
      <c r="EB16" s="149"/>
      <c r="EC16" s="149"/>
      <c r="ED16" s="149"/>
      <c r="EE16" s="149"/>
      <c r="EF16" s="149"/>
      <c r="EG16" s="149"/>
      <c r="EH16" s="150"/>
    </row>
    <row r="17" spans="3:138" ht="11.1" customHeight="1" x14ac:dyDescent="0.2"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51" t="s">
        <v>142</v>
      </c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O19" s="44"/>
      <c r="AZ19" s="155" t="s">
        <v>147</v>
      </c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5"/>
      <c r="BP19" s="155"/>
      <c r="BQ19" s="155"/>
      <c r="BR19" s="155"/>
      <c r="BS19" s="155"/>
      <c r="BT19" s="155"/>
      <c r="BU19" s="155"/>
      <c r="BV19" s="155"/>
      <c r="BW19" s="155"/>
      <c r="BX19" s="155"/>
      <c r="BY19" s="155"/>
      <c r="BZ19" s="155"/>
      <c r="CA19" s="155"/>
      <c r="CB19" s="155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EF19" s="36"/>
      <c r="EG19" s="36"/>
      <c r="EH19" s="42"/>
    </row>
    <row r="20" spans="3:138" ht="11.1" customHeight="1" x14ac:dyDescent="0.2"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8" t="s">
        <v>149</v>
      </c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DA22" s="43" t="s">
        <v>150</v>
      </c>
      <c r="DO22" s="142"/>
      <c r="DP22" s="142"/>
      <c r="DQ22" s="142"/>
      <c r="DR22" s="142"/>
      <c r="DS22" s="142"/>
      <c r="DT22" s="142"/>
      <c r="DU22" s="142"/>
      <c r="DV22" s="142"/>
      <c r="DW22" s="142"/>
      <c r="DX22" s="142"/>
      <c r="DY22" s="142"/>
      <c r="DZ22" s="142"/>
      <c r="EA22" s="142"/>
      <c r="EB22" s="142"/>
      <c r="EC22" s="142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purl.org/dc/elements/1.1/"/>
    <ds:schemaRef ds:uri="http://purl.org/dc/terms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2023-02-21T14:55:15Z</cp:lastPrinted>
  <dcterms:created xsi:type="dcterms:W3CDTF">2012-02-27T08:19:11Z</dcterms:created>
  <dcterms:modified xsi:type="dcterms:W3CDTF">2023-03-22T10:40:17Z</dcterms:modified>
</cp:coreProperties>
</file>