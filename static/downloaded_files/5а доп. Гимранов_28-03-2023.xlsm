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<sst xmlns="http://schemas.openxmlformats.org/spreadsheetml/2006/main" count="2431" uniqueCount="470">
  <si>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</si>
  <si>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</si>
  <si>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</si>
  <si>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</si>
  <si>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</si>
  <si>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</si>
  <si>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</si>
  <si>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</si>
  <si>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</si>
  <si>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</si>
  <si>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</si>
  <si>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</si>
  <si>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</si>
  <si>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</si>
  <si>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</si>
  <si>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</si>
  <si>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</si>
  <si>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</si>
  <si>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</si>
  <si>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</si>
  <si>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</si>
  <si>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</si>
  <si>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</si>
  <si>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</si>
  <si>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</si>
  <si>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</si>
  <si>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</si>
  <si>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</si>
  <si>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</si>
  <si>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</si>
  <si>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</si>
  <si>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</si>
  <si>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</si>
  <si>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</si>
  <si>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</si>
  <si>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</si>
  <si>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</si>
  <si>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</si>
  <si>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</si>
  <si>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</si>
  <si>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</si>
  <si>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</si>
  <si>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</si>
  <si>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</si>
  <si>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</si>
  <si>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</si>
  <si>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</si>
  <si>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</si>
  <si>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</si>
  <si>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</si>
  <si>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</si>
  <si>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</si>
  <si>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</si>
  <si>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</si>
  <si>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</si>
  <si>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</si>
  <si>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</si>
  <si>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</si>
  <si>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</si>
  <si>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</si>
  <si>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</si>
  <si>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</si>
  <si>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</si>
  <si>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</si>
  <si>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</si>
  <si>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</si>
  <si>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</si>
  <si>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</si>
  <si>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</si>
  <si>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</si>
  <si>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</si>
  <si>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</si>
  <si>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</si>
  <si>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</si>
  <si>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</si>
  <si>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</si>
  <si>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</si>
  <si>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</si>
  <si>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</si>
  <si>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</si>
  <si>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</si>
  <si>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</si>
  <si>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</si>
  <si>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</si>
  <si>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</si>
  <si>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</si>
  <si>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</si>
  <si>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</si>
  <si>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</si>
  <si>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</si>
  <si>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</si>
  <si>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</si>
  <si>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</si>
  <si>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</si>
  <si>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</si>
  <si>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</si>
  <si>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</si>
  <si>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</si>
  <si>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</si>
  <si>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</si>
  <si>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</si>
  <si>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</si>
  <si>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</si>
  <si>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</si>
  <si>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</si>
  <si>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</si>
  <si>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</si>
  <si>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</si>
  <si>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</si>
  <si>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</si>
  <si>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</si>
  <si>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</si>
  <si>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</si>
  <si>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</si>
  <si>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</si>
  <si>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</si>
  <si>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</si>
  <si>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</si>
  <si>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</si>
  <si>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</si>
  <si>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</si>
  <si>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</si>
  <si>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</si>
  <si>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</si>
  <si>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</si>
  <si>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</si>
  <si>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</si>
  <si>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</si>
  <si>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</si>
  <si>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</si>
  <si>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</si>
  <si>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</si>
  <si>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</si>
  <si>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</si>
  <si>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</si>
  <si>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</si>
  <si>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</si>
  <si>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</si>
  <si>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</si>
  <si>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</si>
  <si>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</si>
  <si>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</si>
  <si>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</si>
  <si>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</si>
  <si>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</si>
  <si>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</si>
  <si>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</si>
  <si>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</si>
  <si>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</si>
  <si>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</si>
  <si>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</si>
  <si>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</si>
  <si>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</si>
  <si>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</si>
  <si>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</si>
  <si>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</si>
  <si>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</si>
  <si>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</si>
  <si>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</si>
  <si>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</si>
  <si>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</si>
  <si>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</si>
  <si>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</si>
  <si>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</si>
  <si>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</si>
  <si>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</si>
  <si>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</si>
  <si>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</si>
  <si>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</si>
  <si>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</si>
  <si>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</si>
  <si>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</si>
  <si>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</si>
  <si>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</si>
  <si>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</si>
  <si>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</si>
  <si>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</si>
  <si>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</si>
  <si>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</si>
  <si>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</si>
  <si>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</si>
  <si>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</si>
  <si>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</si>
  <si>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</si>
  <si>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</si>
  <si>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</si>
  <si>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</si>
  <si>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</si>
  <si>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</si>
  <si>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</si>
  <si>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</si>
  <si>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</si>
  <si>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</si>
  <si>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</si>
  <si>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</si>
  <si>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</si>
  <si>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</si>
  <si>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</si>
  <si>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</si>
  <si>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</si>
  <si>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</si>
  <si>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</si>
  <si>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</si>
  <si>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</si>
  <si>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</si>
  <si>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</si>
  <si>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</si>
  <si>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</si>
  <si>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</si>
  <si>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</si>
  <si>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</si>
  <si>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</si>
  <si>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</si>
  <si>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</si>
  <si>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</si>
  <si>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</si>
  <si>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</si>
  <si>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</si>
  <si>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</si>
  <si>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</si>
  <si>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</si>
  <si>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</si>
  <si>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</si>
  <si>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</si>
  <si>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</si>
  <si>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</si>
  <si>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</si>
  <si>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</si>
  <si>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</si>
  <si>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</si>
  <si>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</si>
  <si>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</si>
  <si>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</si>
  <si>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</si>
  <si>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</si>
  <si>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</si>
  <si>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</si>
  <si>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</si>
  <si>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</si>
  <si>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</si>
  <si>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</si>
  <si>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</si>
  <si>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</si>
  <si>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</si>
  <si>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</si>
  <si>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</si>
  <si>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</si>
  <si>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</si>
  <si>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</si>
  <si>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</si>
  <si>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</si>
  <si>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</si>
  <si>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</si>
  <si>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</si>
  <si>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</si>
  <si>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</si>
  <si>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</si>
  <si>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</si>
  <si>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</si>
  <si>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</si>
  <si>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</si>
  <si>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</si>
  <si>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</si>
  <si>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</si>
  <si>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</si>
  <si>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</si>
  <si>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</si>
  <si>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</si>
  <si>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</si>
  <si>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</si>
  <si>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</si>
  <si>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</si>
  <si>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</si>
  <si>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</si>
  <si>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</si>
  <si>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</si>
  <si>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</si>
  <si>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</si>
  <si>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</si>
  <si>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</si>
  <si>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</si>
  <si>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</si>
  <si>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</si>
  <si>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</si>
  <si>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</si>
  <si>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</si>
  <si>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</si>
  <si>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</si>
  <si>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</si>
  <si>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</si>
  <si>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</si>
  <si>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</si>
  <si>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</si>
  <si>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</si>
  <si>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</si>
  <si>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</si>
  <si>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</si>
  <si>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</si>
  <si>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</si>
  <si>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</si>
  <si>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</si>
  <si>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</si>
  <si>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</si>
  <si>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</si>
  <si>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</si>
  <si>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</si>
  <si>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</si>
  <si>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</si>
  <si>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</si>
  <si>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</si>
  <si>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</si>
  <si>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</si>
  <si>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</si>
  <si>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</si>
  <si>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</si>
  <si>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</si>
  <si>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</si>
  <si>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</si>
  <si>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</si>
  <si>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</si>
  <si>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</si>
  <si>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</si>
  <si>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</si>
  <si>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</si>
  <si>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</si>
  <si>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</si>
  <si>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</si>
  <si>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</si>
  <si>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</si>
  <si>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</si>
  <si>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</si>
  <si>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</si>
  <si>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</si>
  <si>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</si>
  <si>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</si>
  <si>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</si>
  <si>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</si>
  <si>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</si>
  <si>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</si>
  <si>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</si>
  <si>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</si>
  <si>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</si>
  <si>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</si>
  <si>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</si>
  <si>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</si>
  <si>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</si>
  <si>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</si>
  <si>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</si>
  <si>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</si>
  <si>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</si>
  <si>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</si>
  <si>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</si>
  <si>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</si>
  <si>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</si>
  <si>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</si>
  <si>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</si>
  <si>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</si>
  <si>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</si>
  <si>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</si>
  <si>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</si>
  <si>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</si>
  <si>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</si>
  <si>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</si>
  <si>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</si>
  <si>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</si>
  <si>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</si>
  <si>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</si>
  <si>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</si>
  <si>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</si>
  <si>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</si>
  <si>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</si>
  <si>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</si>
  <si>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</si>
  <si>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</si>
  <si>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</si>
  <si>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</si>
  <si>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</si>
  <si>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</si>
  <si>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</si>
  <si>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</si>
  <si>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</si>
  <si>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</si>
  <si>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</si>
  <si>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</si>
  <si>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</si>
  <si>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</si>
  <si>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</si>
  <si>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</si>
  <si>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</si>
  <si>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</si>
  <si>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</si>
  <si>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</si>
  <si>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</si>
  <si>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</si>
  <si>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</si>
  <si>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</si>
  <si>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</si>
  <si>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000861</t>
  </si>
  <si>
    <t xml:space="preserve">Абдрахманов Юлдаш Рафикович                       </t>
  </si>
  <si>
    <t xml:space="preserve">5а доп              </t>
  </si>
  <si>
    <t>000860</t>
  </si>
  <si>
    <t xml:space="preserve">Аджигитов Ахмад Рафаэльевич                       </t>
  </si>
  <si>
    <t>000857</t>
  </si>
  <si>
    <t xml:space="preserve">Айзатуллин Амир Эмилевич                          </t>
  </si>
  <si>
    <t>000847</t>
  </si>
  <si>
    <t xml:space="preserve">Ахмадуллин Арслан Наилевич                        </t>
  </si>
  <si>
    <t>000863</t>
  </si>
  <si>
    <t xml:space="preserve">Волков Дмитрий Евгеньевич                         </t>
  </si>
  <si>
    <t>000843</t>
  </si>
  <si>
    <t xml:space="preserve">Галаутдинов Камиль Рустамович                     </t>
  </si>
  <si>
    <t>000842</t>
  </si>
  <si>
    <t xml:space="preserve">Гаранин Кирилл Андреевич                          </t>
  </si>
  <si>
    <t>000856</t>
  </si>
  <si>
    <t xml:space="preserve">Гилманов Амир Рустемович                          </t>
  </si>
  <si>
    <t>000854</t>
  </si>
  <si>
    <t xml:space="preserve">Давлетов Али Радикович                            </t>
  </si>
  <si>
    <t>000864</t>
  </si>
  <si>
    <t xml:space="preserve">Ильичев Денис Алексеевич                          </t>
  </si>
  <si>
    <t>000851</t>
  </si>
  <si>
    <t xml:space="preserve">Кудинов Нил Александрович                         </t>
  </si>
  <si>
    <t>000844</t>
  </si>
  <si>
    <t xml:space="preserve">Минимуллин Камиль Расимович                       </t>
  </si>
  <si>
    <t>000848</t>
  </si>
  <si>
    <t xml:space="preserve">Муллакаев Ибрахим Фидаилевич                      </t>
  </si>
  <si>
    <t>000858</t>
  </si>
  <si>
    <t xml:space="preserve">Мустафин Султан Радикович                         </t>
  </si>
  <si>
    <t>000852</t>
  </si>
  <si>
    <t xml:space="preserve">Олудин Никита Алексеевич                          </t>
  </si>
  <si>
    <t>000855</t>
  </si>
  <si>
    <t xml:space="preserve">Фатхутдинов Карим Динарович                       </t>
  </si>
  <si>
    <t>000850</t>
  </si>
  <si>
    <t xml:space="preserve">Хаертдинов Мурат Наилевич                         </t>
  </si>
  <si>
    <t>000845</t>
  </si>
  <si>
    <t xml:space="preserve">Шаммасов Мансур Ренатович                         </t>
  </si>
  <si>
    <t>000859</t>
  </si>
  <si>
    <t xml:space="preserve">Шарафутдинов Тагир Азатович                       </t>
  </si>
  <si>
    <t>000862</t>
  </si>
  <si>
    <t xml:space="preserve">Яруллин Халиль Фаилевич                           </t>
  </si>
  <si>
    <t>Сумма: 5970 руб. 00 коп.</t>
  </si>
  <si>
    <t>000849</t>
  </si>
  <si>
    <t xml:space="preserve">Валиев Азамат Ленарович                           </t>
  </si>
  <si>
    <t>Сумма: 11940 руб. 00 коп.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</si>
  <si>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</si>
  <si>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</si>
  <si>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</si>
  <si>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</si>
  <si>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</si>
  <si>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</si>
  <si>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</si>
  <si>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</si>
  <si>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</si>
  <si>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</si>
  <si>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</si>
  <si>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</si>
  <si>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</si>
  <si>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</si>
  <si>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</si>
  <si>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</si>
  <si>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</si>
  <si>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</si>
  <si>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</si>
  <si>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</si>
  <si>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</si>
  <si>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</si>
  <si>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</si>
  <si>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</si>
  <si>
    <t>000853</t>
  </si>
  <si>
    <t xml:space="preserve">Гимранов Рифат Рамилевич                          </t>
  </si>
  <si>
    <t>000846</t>
  </si>
  <si>
    <t xml:space="preserve">Мигманов Рияз Рафисович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</si>
</sst>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4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397</v>
      </c>
      <c r="B2" s="89" t="s">
        <v>398</v>
      </c>
      <c r="C2" s="89" t="s">
        <v>399</v>
      </c>
      <c r="D2" s="89" t="s">
        <v>464</v>
      </c>
      <c r="E2" s="90">
        <v>5970</v>
      </c>
      <c r="F2" s="94" t="str">
        <f>TRIM(A2)</f>
        <v>000861</v>
      </c>
      <c r="G2" s="31" t="str">
        <f t="shared" ref="G2:G44" si="0">B2</f>
        <v xml:space="preserve">Абдрахманов Юлдаш Рафикович                       </v>
      </c>
      <c r="H2" s="31" t="str">
        <f>CONCATENATE(TRIM(C2)," ",D2)</f>
        <v>5а доп март</v>
      </c>
      <c r="I2" s="91" t="s">
        <v>396</v>
      </c>
      <c r="J2" s="31">
        <v>92701000</v>
      </c>
      <c r="M2" s="31">
        <f t="shared" ref="M2:M61" si="1">E2</f>
        <v>5970</v>
      </c>
    </row>
    <row r="3" spans="1:13" x14ac:dyDescent="0.25">
      <c r="A3" s="89" t="s">
        <v>400</v>
      </c>
      <c r="B3" s="89" t="s">
        <v>401</v>
      </c>
      <c r="C3" s="89" t="s">
        <v>399</v>
      </c>
      <c r="D3" s="89" t="s">
        <v>464</v>
      </c>
      <c r="E3" s="90">
        <v>5970</v>
      </c>
      <c r="F3" s="94" t="str">
        <f t="shared" ref="F3:F64" si="2">TRIM(A3)</f>
        <v>000860</v>
      </c>
      <c r="G3" s="31" t="str">
        <f t="shared" si="0"/>
        <v xml:space="preserve">Аджигитов Ахмад Рафаэльевич                       </v>
      </c>
      <c r="H3" s="31" t="str">
        <f t="shared" ref="H3:H64" si="3">CONCATENATE(TRIM(C3)," ",D3)</f>
        <v>5а доп март</v>
      </c>
      <c r="I3" s="91" t="s">
        <v>396</v>
      </c>
      <c r="J3" s="31">
        <v>92701000</v>
      </c>
      <c r="M3" s="31">
        <f t="shared" si="1"/>
        <v>5970</v>
      </c>
    </row>
    <row r="4" spans="1:13" x14ac:dyDescent="0.25">
      <c r="A4" s="89" t="s">
        <v>402</v>
      </c>
      <c r="B4" s="89" t="s">
        <v>403</v>
      </c>
      <c r="C4" s="89" t="s">
        <v>399</v>
      </c>
      <c r="D4" s="89" t="s">
        <v>464</v>
      </c>
      <c r="E4" s="90">
        <v>0</v>
      </c>
      <c r="F4" s="94" t="str">
        <f t="shared" si="2"/>
        <v>000857</v>
      </c>
      <c r="G4" s="31" t="str">
        <f t="shared" si="0"/>
        <v xml:space="preserve">Айзатуллин Амир Эмилевич                          </v>
      </c>
      <c r="H4" s="31" t="str">
        <f t="shared" si="3"/>
        <v>5а доп март</v>
      </c>
      <c r="I4" s="91" t="s">
        <v>396</v>
      </c>
      <c r="J4" s="31">
        <v>92701000</v>
      </c>
      <c r="M4" s="31">
        <f t="shared" si="1"/>
        <v>0</v>
      </c>
    </row>
    <row r="5" spans="1:13" x14ac:dyDescent="0.25">
      <c r="A5" s="89" t="s">
        <v>404</v>
      </c>
      <c r="B5" s="89" t="s">
        <v>405</v>
      </c>
      <c r="C5" s="89" t="s">
        <v>399</v>
      </c>
      <c r="D5" s="89" t="s">
        <v>464</v>
      </c>
      <c r="E5" s="90">
        <v>11940</v>
      </c>
      <c r="F5" s="94" t="str">
        <f t="shared" si="2"/>
        <v>000847</v>
      </c>
      <c r="G5" s="31" t="str">
        <f t="shared" si="0"/>
        <v xml:space="preserve">Ахмадуллин Арслан Наилевич                        </v>
      </c>
      <c r="H5" s="31" t="str">
        <f t="shared" si="3"/>
        <v>5а доп март</v>
      </c>
      <c r="I5" s="91" t="s">
        <v>396</v>
      </c>
      <c r="J5" s="31">
        <v>92701000</v>
      </c>
      <c r="M5" s="31">
        <f t="shared" si="1"/>
        <v>11940</v>
      </c>
    </row>
    <row r="6" spans="1:13" x14ac:dyDescent="0.25">
      <c r="A6" s="89" t="s">
        <v>439</v>
      </c>
      <c r="B6" s="89" t="s">
        <v>440</v>
      </c>
      <c r="C6" s="89" t="s">
        <v>399</v>
      </c>
      <c r="D6" s="89" t="s">
        <v>464</v>
      </c>
      <c r="E6" s="90">
        <v>5970</v>
      </c>
      <c r="F6" s="94" t="str">
        <f t="shared" si="2"/>
        <v>000849</v>
      </c>
      <c r="G6" s="31" t="str">
        <f t="shared" si="0"/>
        <v xml:space="preserve">Валиев Азамат Ленарович                           </v>
      </c>
      <c r="H6" s="31" t="str">
        <f t="shared" si="3"/>
        <v>5а доп март</v>
      </c>
      <c r="I6" s="91" t="s">
        <v>396</v>
      </c>
      <c r="J6" s="31">
        <v>92701000</v>
      </c>
      <c r="M6" s="31">
        <f t="shared" si="1"/>
        <v>5970</v>
      </c>
    </row>
    <row r="7" spans="1:13" x14ac:dyDescent="0.25">
      <c r="A7" s="89" t="s">
        <v>406</v>
      </c>
      <c r="B7" s="89" t="s">
        <v>407</v>
      </c>
      <c r="C7" s="89" t="s">
        <v>399</v>
      </c>
      <c r="D7" s="89" t="s">
        <v>464</v>
      </c>
      <c r="E7" s="90">
        <v>5970</v>
      </c>
      <c r="F7" s="94" t="str">
        <f t="shared" si="2"/>
        <v>000863</v>
      </c>
      <c r="G7" s="31" t="str">
        <f t="shared" si="0"/>
        <v xml:space="preserve">Волков Дмитрий Евгеньевич                         </v>
      </c>
      <c r="H7" s="31" t="str">
        <f t="shared" si="3"/>
        <v>5а доп март</v>
      </c>
      <c r="I7" s="91" t="s">
        <v>396</v>
      </c>
      <c r="J7" s="31">
        <v>92701000</v>
      </c>
      <c r="M7" s="31">
        <f t="shared" si="1"/>
        <v>5970</v>
      </c>
    </row>
    <row r="8" spans="1:13" x14ac:dyDescent="0.25">
      <c r="A8" s="89" t="s">
        <v>408</v>
      </c>
      <c r="B8" s="89" t="s">
        <v>409</v>
      </c>
      <c r="C8" s="89" t="s">
        <v>399</v>
      </c>
      <c r="D8" s="89" t="s">
        <v>464</v>
      </c>
      <c r="E8" s="90">
        <v>5970</v>
      </c>
      <c r="F8" s="94" t="str">
        <f t="shared" si="2"/>
        <v>000843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доп март</v>
      </c>
      <c r="I8" s="91" t="s">
        <v>396</v>
      </c>
      <c r="J8" s="31">
        <v>92701000</v>
      </c>
      <c r="M8" s="31">
        <f t="shared" si="1"/>
        <v>5970</v>
      </c>
    </row>
    <row r="9" spans="1:13" x14ac:dyDescent="0.25">
      <c r="A9" s="89" t="s">
        <v>410</v>
      </c>
      <c r="B9" s="89" t="s">
        <v>411</v>
      </c>
      <c r="C9" s="89" t="s">
        <v>399</v>
      </c>
      <c r="D9" s="89" t="s">
        <v>464</v>
      </c>
      <c r="E9" s="90">
        <v>5970</v>
      </c>
      <c r="F9" s="94" t="str">
        <f t="shared" si="2"/>
        <v>000842</v>
      </c>
      <c r="G9" s="31" t="str">
        <f t="shared" si="0"/>
        <v xml:space="preserve">Гаранин Кирилл Андреевич                          </v>
      </c>
      <c r="H9" s="31" t="str">
        <f t="shared" si="3"/>
        <v>5а доп март</v>
      </c>
      <c r="I9" s="91" t="s">
        <v>396</v>
      </c>
      <c r="J9" s="31">
        <v>92701000</v>
      </c>
      <c r="M9" s="31">
        <f t="shared" si="1"/>
        <v>5970</v>
      </c>
    </row>
    <row r="10" spans="1:13" x14ac:dyDescent="0.25">
      <c r="A10" s="89" t="s">
        <v>412</v>
      </c>
      <c r="B10" s="89" t="s">
        <v>413</v>
      </c>
      <c r="C10" s="89" t="s">
        <v>399</v>
      </c>
      <c r="D10" s="89" t="s">
        <v>464</v>
      </c>
      <c r="E10" s="90">
        <v>5970</v>
      </c>
      <c r="F10" s="94" t="str">
        <f t="shared" si="2"/>
        <v>000856</v>
      </c>
      <c r="G10" s="31" t="str">
        <f t="shared" si="0"/>
        <v xml:space="preserve">Гилманов Амир Рустемович                          </v>
      </c>
      <c r="H10" s="31" t="str">
        <f t="shared" si="3"/>
        <v>5а доп март</v>
      </c>
      <c r="I10" s="91" t="s">
        <v>396</v>
      </c>
      <c r="J10" s="31">
        <v>92701000</v>
      </c>
      <c r="M10" s="31">
        <f t="shared" si="1"/>
        <v>5970</v>
      </c>
    </row>
    <row r="11" spans="1:13" x14ac:dyDescent="0.25">
      <c r="A11" s="89" t="s">
        <v>466</v>
      </c>
      <c r="B11" s="89" t="s">
        <v>467</v>
      </c>
      <c r="C11" s="89" t="s">
        <v>399</v>
      </c>
      <c r="D11" s="89" t="s">
        <v>464</v>
      </c>
      <c r="E11" s="90">
        <v>5970</v>
      </c>
      <c r="F11" s="94" t="str">
        <f t="shared" si="2"/>
        <v>000853</v>
      </c>
      <c r="G11" s="31" t="str">
        <f t="shared" si="0"/>
        <v xml:space="preserve">Гимранов Рифат Рамилевич                          </v>
      </c>
      <c r="H11" s="31" t="str">
        <f t="shared" si="3"/>
        <v>5а доп март</v>
      </c>
      <c r="I11" s="91" t="s">
        <v>396</v>
      </c>
      <c r="J11" s="31">
        <v>92701000</v>
      </c>
      <c r="M11" s="31">
        <f t="shared" si="1"/>
        <v>5970</v>
      </c>
    </row>
    <row r="12" spans="1:13" x14ac:dyDescent="0.25">
      <c r="A12" s="89" t="s">
        <v>414</v>
      </c>
      <c r="B12" s="89" t="s">
        <v>415</v>
      </c>
      <c r="C12" s="89" t="s">
        <v>399</v>
      </c>
      <c r="D12" s="89" t="s">
        <v>464</v>
      </c>
      <c r="E12" s="90">
        <v>5970</v>
      </c>
      <c r="F12" s="94" t="str">
        <f t="shared" si="2"/>
        <v>000854</v>
      </c>
      <c r="G12" s="31" t="str">
        <f t="shared" si="0"/>
        <v xml:space="preserve">Давлетов Али Радикович                            </v>
      </c>
      <c r="H12" s="31" t="str">
        <f t="shared" si="3"/>
        <v>5а доп март</v>
      </c>
      <c r="I12" s="91" t="s">
        <v>396</v>
      </c>
      <c r="J12" s="31">
        <v>92701000</v>
      </c>
      <c r="M12" s="31">
        <f t="shared" si="1"/>
        <v>5970</v>
      </c>
    </row>
    <row r="13" spans="1:13" x14ac:dyDescent="0.25">
      <c r="A13" s="89" t="s">
        <v>416</v>
      </c>
      <c r="B13" s="89" t="s">
        <v>417</v>
      </c>
      <c r="C13" s="89" t="s">
        <v>399</v>
      </c>
      <c r="D13" s="89" t="s">
        <v>464</v>
      </c>
      <c r="E13" s="90">
        <v>5970</v>
      </c>
      <c r="F13" s="94" t="str">
        <f t="shared" si="2"/>
        <v>000864</v>
      </c>
      <c r="G13" s="31" t="str">
        <f t="shared" si="0"/>
        <v xml:space="preserve">Ильичев Денис Алексеевич                          </v>
      </c>
      <c r="H13" s="31" t="str">
        <f t="shared" si="3"/>
        <v>5а доп март</v>
      </c>
      <c r="I13" s="91" t="s">
        <v>396</v>
      </c>
      <c r="J13" s="31">
        <v>92701000</v>
      </c>
      <c r="M13" s="31">
        <f t="shared" si="1"/>
        <v>5970</v>
      </c>
    </row>
    <row r="14" spans="1:13" x14ac:dyDescent="0.25">
      <c r="A14" s="89" t="s">
        <v>418</v>
      </c>
      <c r="B14" s="89" t="s">
        <v>419</v>
      </c>
      <c r="C14" s="89" t="s">
        <v>399</v>
      </c>
      <c r="D14" s="89" t="s">
        <v>464</v>
      </c>
      <c r="E14" s="90">
        <v>5970</v>
      </c>
      <c r="F14" s="94" t="str">
        <f t="shared" si="2"/>
        <v>000851</v>
      </c>
      <c r="G14" s="31" t="str">
        <f t="shared" si="0"/>
        <v xml:space="preserve">Кудинов Нил Александрович                         </v>
      </c>
      <c r="H14" s="31" t="str">
        <f t="shared" si="3"/>
        <v>5а доп март</v>
      </c>
      <c r="I14" s="91" t="s">
        <v>396</v>
      </c>
      <c r="J14" s="31">
        <v>92701000</v>
      </c>
      <c r="M14" s="31">
        <f t="shared" si="1"/>
        <v>5970</v>
      </c>
    </row>
    <row r="15" spans="1:13" x14ac:dyDescent="0.25">
      <c r="A15" s="89" t="s">
        <v>468</v>
      </c>
      <c r="B15" s="89" t="s">
        <v>469</v>
      </c>
      <c r="C15" s="89" t="s">
        <v>399</v>
      </c>
      <c r="D15" s="89" t="s">
        <v>464</v>
      </c>
      <c r="E15" s="90">
        <v>0</v>
      </c>
      <c r="F15" s="94" t="str">
        <f t="shared" si="2"/>
        <v>000846</v>
      </c>
      <c r="G15" s="31" t="str">
        <f t="shared" si="0"/>
        <v xml:space="preserve">Мигманов Рияз Рафисович                           </v>
      </c>
      <c r="H15" s="31" t="str">
        <f t="shared" si="3"/>
        <v>5а доп март</v>
      </c>
      <c r="I15" s="91" t="s">
        <v>396</v>
      </c>
      <c r="J15" s="31">
        <v>92701000</v>
      </c>
      <c r="M15" s="31">
        <f t="shared" si="1"/>
        <v>0</v>
      </c>
    </row>
    <row r="16" spans="1:13" x14ac:dyDescent="0.25">
      <c r="A16" s="89" t="s">
        <v>420</v>
      </c>
      <c r="B16" s="89" t="s">
        <v>421</v>
      </c>
      <c r="C16" s="89" t="s">
        <v>399</v>
      </c>
      <c r="D16" s="89" t="s">
        <v>464</v>
      </c>
      <c r="E16" s="90">
        <v>5970</v>
      </c>
      <c r="F16" s="94" t="str">
        <f t="shared" si="2"/>
        <v>000844</v>
      </c>
      <c r="G16" s="31" t="str">
        <f t="shared" si="0"/>
        <v xml:space="preserve">Минимуллин Камиль Расимович                       </v>
      </c>
      <c r="H16" s="31" t="str">
        <f t="shared" si="3"/>
        <v>5а доп март</v>
      </c>
      <c r="I16" s="91" t="s">
        <v>396</v>
      </c>
      <c r="J16" s="31">
        <v>92701000</v>
      </c>
      <c r="M16" s="31">
        <f t="shared" si="1"/>
        <v>5970</v>
      </c>
    </row>
    <row r="17" spans="1:13" x14ac:dyDescent="0.25">
      <c r="A17" s="89" t="s">
        <v>422</v>
      </c>
      <c r="B17" s="89" t="s">
        <v>423</v>
      </c>
      <c r="C17" s="89" t="s">
        <v>399</v>
      </c>
      <c r="D17" s="89" t="s">
        <v>464</v>
      </c>
      <c r="E17" s="90">
        <v>5970</v>
      </c>
      <c r="F17" s="94" t="str">
        <f t="shared" si="2"/>
        <v>000848</v>
      </c>
      <c r="G17" s="31" t="str">
        <f t="shared" si="0"/>
        <v xml:space="preserve">Муллакаев Ибрахим Фидаилевич                      </v>
      </c>
      <c r="H17" s="31" t="str">
        <f t="shared" si="3"/>
        <v>5а доп март</v>
      </c>
      <c r="I17" s="91" t="s">
        <v>396</v>
      </c>
      <c r="J17" s="31">
        <v>92701000</v>
      </c>
      <c r="M17" s="31">
        <f t="shared" si="1"/>
        <v>5970</v>
      </c>
    </row>
    <row r="18" spans="1:13" x14ac:dyDescent="0.25">
      <c r="A18" s="89" t="s">
        <v>424</v>
      </c>
      <c r="B18" s="89" t="s">
        <v>425</v>
      </c>
      <c r="C18" s="89" t="s">
        <v>399</v>
      </c>
      <c r="D18" s="89" t="s">
        <v>464</v>
      </c>
      <c r="E18" s="90">
        <v>5970</v>
      </c>
      <c r="F18" s="94" t="str">
        <f t="shared" si="2"/>
        <v>000858</v>
      </c>
      <c r="G18" s="31" t="str">
        <f t="shared" si="0"/>
        <v xml:space="preserve">Мустафин Султан Радикович                         </v>
      </c>
      <c r="H18" s="31" t="str">
        <f t="shared" si="3"/>
        <v>5а доп март</v>
      </c>
      <c r="I18" s="91" t="s">
        <v>396</v>
      </c>
      <c r="J18" s="31">
        <v>92701000</v>
      </c>
      <c r="M18" s="31">
        <f t="shared" si="1"/>
        <v>5970</v>
      </c>
    </row>
    <row r="19" spans="1:13" x14ac:dyDescent="0.25">
      <c r="A19" s="89" t="s">
        <v>426</v>
      </c>
      <c r="B19" s="89" t="s">
        <v>427</v>
      </c>
      <c r="C19" s="89" t="s">
        <v>399</v>
      </c>
      <c r="D19" s="89" t="s">
        <v>464</v>
      </c>
      <c r="E19" s="90">
        <v>5970</v>
      </c>
      <c r="F19" s="94" t="str">
        <f t="shared" si="2"/>
        <v>000852</v>
      </c>
      <c r="G19" s="31" t="str">
        <f t="shared" si="0"/>
        <v xml:space="preserve">Олудин Никита Алексеевич                          </v>
      </c>
      <c r="H19" s="31" t="str">
        <f t="shared" si="3"/>
        <v>5а доп март</v>
      </c>
      <c r="I19" s="91" t="s">
        <v>396</v>
      </c>
      <c r="J19" s="31">
        <v>92701000</v>
      </c>
      <c r="M19" s="31">
        <f t="shared" si="1"/>
        <v>5970</v>
      </c>
    </row>
    <row r="20" spans="1:13" x14ac:dyDescent="0.25">
      <c r="A20" s="89" t="s">
        <v>428</v>
      </c>
      <c r="B20" s="89" t="s">
        <v>429</v>
      </c>
      <c r="C20" s="89" t="s">
        <v>399</v>
      </c>
      <c r="D20" s="89" t="s">
        <v>464</v>
      </c>
      <c r="E20" s="90">
        <v>5970</v>
      </c>
      <c r="F20" s="94" t="str">
        <f t="shared" si="2"/>
        <v>000855</v>
      </c>
      <c r="G20" s="31" t="str">
        <f t="shared" si="0"/>
        <v xml:space="preserve">Фатхутдинов Карим Динарович                       </v>
      </c>
      <c r="H20" s="31" t="str">
        <f t="shared" si="3"/>
        <v>5а доп март</v>
      </c>
      <c r="I20" s="91" t="s">
        <v>396</v>
      </c>
      <c r="J20" s="31">
        <v>92701000</v>
      </c>
      <c r="M20" s="31">
        <f t="shared" si="1"/>
        <v>5970</v>
      </c>
    </row>
    <row r="21" spans="1:13" x14ac:dyDescent="0.25">
      <c r="A21" s="89" t="s">
        <v>430</v>
      </c>
      <c r="B21" s="89" t="s">
        <v>431</v>
      </c>
      <c r="C21" s="89" t="s">
        <v>399</v>
      </c>
      <c r="D21" s="89" t="s">
        <v>464</v>
      </c>
      <c r="E21" s="90">
        <v>0</v>
      </c>
      <c r="F21" s="94" t="str">
        <f t="shared" si="2"/>
        <v>000850</v>
      </c>
      <c r="G21" s="31" t="str">
        <f t="shared" si="0"/>
        <v xml:space="preserve">Хаертдинов Мурат Наилевич                         </v>
      </c>
      <c r="H21" s="31" t="str">
        <f t="shared" si="3"/>
        <v>5а доп март</v>
      </c>
      <c r="I21" s="91" t="s">
        <v>396</v>
      </c>
      <c r="J21" s="31">
        <v>92701000</v>
      </c>
      <c r="M21" s="31">
        <f t="shared" si="1"/>
        <v>0</v>
      </c>
    </row>
    <row r="22" spans="1:13" x14ac:dyDescent="0.25">
      <c r="A22" s="89" t="s">
        <v>432</v>
      </c>
      <c r="B22" s="89" t="s">
        <v>433</v>
      </c>
      <c r="C22" s="89" t="s">
        <v>399</v>
      </c>
      <c r="D22" s="89" t="s">
        <v>464</v>
      </c>
      <c r="E22" s="90">
        <v>5970</v>
      </c>
      <c r="F22" s="94" t="str">
        <f t="shared" si="2"/>
        <v>000845</v>
      </c>
      <c r="G22" s="31" t="str">
        <f t="shared" si="0"/>
        <v xml:space="preserve">Шаммасов Мансур Ренатович                         </v>
      </c>
      <c r="H22" s="31" t="str">
        <f t="shared" si="3"/>
        <v>5а доп март</v>
      </c>
      <c r="I22" s="91" t="s">
        <v>396</v>
      </c>
      <c r="J22" s="31">
        <v>92701000</v>
      </c>
      <c r="M22" s="31">
        <f t="shared" si="1"/>
        <v>5970</v>
      </c>
    </row>
    <row r="23" spans="1:13" x14ac:dyDescent="0.25">
      <c r="A23" s="89" t="s">
        <v>434</v>
      </c>
      <c r="B23" s="89" t="s">
        <v>435</v>
      </c>
      <c r="C23" s="89" t="s">
        <v>399</v>
      </c>
      <c r="D23" s="89" t="s">
        <v>464</v>
      </c>
      <c r="E23" s="90">
        <v>5970</v>
      </c>
      <c r="F23" s="94" t="str">
        <f t="shared" si="2"/>
        <v>000859</v>
      </c>
      <c r="G23" s="31" t="str">
        <f t="shared" si="0"/>
        <v xml:space="preserve">Шарафутдинов Тагир Азатович                       </v>
      </c>
      <c r="H23" s="31" t="str">
        <f t="shared" si="3"/>
        <v>5а доп март</v>
      </c>
      <c r="I23" s="91" t="s">
        <v>396</v>
      </c>
      <c r="J23" s="31">
        <v>92701000</v>
      </c>
      <c r="M23" s="31">
        <f t="shared" si="1"/>
        <v>5970</v>
      </c>
    </row>
    <row r="24" spans="1:13" x14ac:dyDescent="0.25">
      <c r="A24" s="89" t="s">
        <v>436</v>
      </c>
      <c r="B24" s="89" t="s">
        <v>437</v>
      </c>
      <c r="C24" s="89" t="s">
        <v>399</v>
      </c>
      <c r="D24" s="89" t="s">
        <v>464</v>
      </c>
      <c r="E24" s="90">
        <v>5970</v>
      </c>
      <c r="F24" s="94" t="str">
        <f t="shared" si="2"/>
        <v>000862</v>
      </c>
      <c r="G24" s="31" t="str">
        <f t="shared" si="0"/>
        <v xml:space="preserve">Яруллин Халиль Фаилевич                           </v>
      </c>
      <c r="H24" s="31" t="str">
        <f t="shared" si="3"/>
        <v>5а доп март</v>
      </c>
      <c r="I24" s="91" t="s">
        <v>396</v>
      </c>
      <c r="J24" s="31">
        <v>92701000</v>
      </c>
      <c r="M24" s="31">
        <f t="shared" si="1"/>
        <v>5970</v>
      </c>
    </row>
    <row r="25" spans="1:13" x14ac:dyDescent="0.25">
      <c r="F25" s="94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1" t="s">
        <v>396</v>
      </c>
      <c r="J25" s="31">
        <v>92701000</v>
      </c>
      <c r="M25" s="31">
        <f t="shared" si="1"/>
        <v>0</v>
      </c>
    </row>
    <row r="26" spans="1:13" x14ac:dyDescent="0.25">
      <c r="F26" s="94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1" t="s">
        <v>396</v>
      </c>
      <c r="J26" s="31">
        <v>92701000</v>
      </c>
      <c r="M26" s="31">
        <f t="shared" si="1"/>
        <v>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396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387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387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81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si="81"/>
        <v>0</v>
      </c>
    </row>
    <row r="1281" spans="6:13" x14ac:dyDescent="0.25">
      <c r="F1281" s="94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1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1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tabSelected="1" workbookViewId="0">
      <pane ySplit="6" topLeftCell="A7" activePane="bottomLeft" state="frozen"/>
      <selection activeCell="A2" sqref="A2"/>
      <selection pane="bottomLeft" activeCell="A8" sqref="A8:XFD2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1657032924_03234643927010001100__28.03.2023.TXT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5970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466</v>
      </c>
      <c r="B7" s="92" t="s">
        <v>467</v>
      </c>
      <c r="C7" s="92" t="s">
        <v>465</v>
      </c>
      <c r="D7" s="92" t="s">
        <v>396</v>
      </c>
      <c r="E7" s="92">
        <v>92701000</v>
      </c>
      <c r="F7" s="92"/>
      <c r="G7" s="92"/>
      <c r="H7" s="93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 t="str">
        <f>"ИНН "&amp;INN&amp;", БИК "&amp;BIC&amp;", Р/С "&amp;PersonalAcc</f>
        <v>ИНН 1657032924, БИК 019205400, Р/С 03234643927010001100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 t="str">
        <f>"ИНН "&amp;INN&amp;", БИК "&amp;BIC&amp;", Р/С "&amp;PersonalAcc</f>
        <v>ИНН 1657032924, БИК 019205400, Р/С 03234643927010001100</v>
      </c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 t="str">
        <f>"ИНН "&amp;INN&amp;", БИК "&amp;BIC&amp;", Р/С "&amp;PersonalAcc</f>
        <v>ИНН 1657032924, БИК 019205400, Р/С 03234643927010001100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 t="str">
        <f>"ИНН "&amp;INN&amp;", БИК "&amp;BIC&amp;", Р/С "&amp;PersonalAcc</f>
        <v>ИНН 1657032924, БИК 019205400, Р/С 03234643927010001100</v>
      </c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 t="str">
        <f>"ИНН "&amp;INN&amp;", БИК "&amp;BIC&amp;", Р/С "&amp;PersonalAcc</f>
        <v>ИНН 1657032924, БИК 019205400, Р/С 03234643927010001100</v>
      </c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 t="str">
        <f>"ИНН "&amp;INN&amp;", БИК "&amp;BIC&amp;", Р/С "&amp;PersonalAcc</f>
        <v>ИНН 1657032924, БИК 019205400, Р/С 03234643927010001100</v>
      </c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438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438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438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438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438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438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438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438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447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438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447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438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448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438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448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438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449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438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449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438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438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438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438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438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438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438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438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438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438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438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456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456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457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457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458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438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458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438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459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438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459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438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438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438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438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438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463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463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</sheetData>
  <mergeCells count="22"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2" t="s">
        <v>128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2" t="s">
        <v>129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52"/>
      <c r="CD2" s="152"/>
      <c r="CE2" s="152"/>
      <c r="CF2" s="152"/>
      <c r="CG2" s="152"/>
      <c r="CH2" s="152"/>
      <c r="CI2" s="152"/>
      <c r="CJ2" s="152"/>
      <c r="CK2" s="152"/>
      <c r="CL2" s="152"/>
      <c r="CM2" s="152"/>
      <c r="CN2" s="152"/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2"/>
      <c r="DC2" s="152"/>
      <c r="DD2" s="152"/>
      <c r="DE2" s="152"/>
      <c r="DF2" s="152"/>
      <c r="DG2" s="152"/>
      <c r="DH2" s="152"/>
      <c r="DI2" s="152"/>
      <c r="DJ2" s="152"/>
      <c r="DK2" s="152"/>
      <c r="DL2" s="152"/>
      <c r="DM2" s="152"/>
      <c r="DN2" s="152"/>
      <c r="DO2" s="152"/>
      <c r="DP2" s="152"/>
      <c r="DQ2" s="152"/>
      <c r="DR2" s="152"/>
      <c r="DS2" s="152"/>
      <c r="DT2" s="152"/>
      <c r="DU2" s="152"/>
      <c r="DV2" s="152"/>
      <c r="DW2" s="152"/>
      <c r="DX2" s="152"/>
      <c r="DY2" s="152"/>
      <c r="DZ2" s="152"/>
      <c r="EA2" s="152"/>
      <c r="EB2" s="152"/>
      <c r="EC2" s="152"/>
      <c r="ED2" s="152"/>
      <c r="EE2" s="152"/>
      <c r="EF2" s="152"/>
      <c r="EG2" s="152"/>
      <c r="EH2" s="152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37" t="s">
        <v>134</v>
      </c>
      <c r="BO5" s="46"/>
      <c r="BP5" s="52"/>
      <c r="BQ5" s="52"/>
      <c r="BR5" s="52"/>
      <c r="BZ5" s="111" t="s">
        <v>153</v>
      </c>
      <c r="CA5" s="112"/>
      <c r="CB5" s="112"/>
      <c r="CC5" s="112"/>
      <c r="CD5" s="112"/>
      <c r="CE5" s="112"/>
      <c r="CF5" s="112"/>
      <c r="CG5" s="112"/>
      <c r="CH5" s="112"/>
      <c r="CI5" s="113"/>
      <c r="CJ5" s="111" t="s">
        <v>154</v>
      </c>
      <c r="CK5" s="112"/>
      <c r="CL5" s="112"/>
      <c r="CM5" s="112"/>
      <c r="CN5" s="112"/>
      <c r="CO5" s="112"/>
      <c r="CP5" s="113"/>
      <c r="CQ5" s="111" t="s">
        <v>155</v>
      </c>
      <c r="CR5" s="112"/>
      <c r="CS5" s="112"/>
      <c r="CT5" s="112"/>
      <c r="CU5" s="112"/>
      <c r="CV5" s="112"/>
      <c r="CW5" s="112"/>
      <c r="CX5" s="112"/>
      <c r="CY5" s="113"/>
      <c r="CZ5" s="111" t="s">
        <v>156</v>
      </c>
      <c r="DA5" s="112"/>
      <c r="DB5" s="112"/>
      <c r="DC5" s="112"/>
      <c r="DD5" s="112"/>
      <c r="DE5" s="112"/>
      <c r="DF5" s="112"/>
      <c r="DG5" s="112"/>
      <c r="DH5" s="113"/>
      <c r="DI5" s="111" t="s">
        <v>157</v>
      </c>
      <c r="DJ5" s="112"/>
      <c r="DK5" s="112"/>
      <c r="DL5" s="112"/>
      <c r="DM5" s="112"/>
      <c r="DN5" s="112"/>
      <c r="DO5" s="112"/>
      <c r="DP5" s="113"/>
      <c r="DQ5" s="111" t="s">
        <v>158</v>
      </c>
      <c r="DR5" s="112"/>
      <c r="DS5" s="112"/>
      <c r="DT5" s="112"/>
      <c r="DU5" s="112"/>
      <c r="DV5" s="112"/>
      <c r="DW5" s="112"/>
      <c r="DX5" s="113"/>
      <c r="DY5" s="111" t="s">
        <v>159</v>
      </c>
      <c r="DZ5" s="112"/>
      <c r="EA5" s="112"/>
      <c r="EB5" s="112"/>
      <c r="EC5" s="112"/>
      <c r="ED5" s="112"/>
      <c r="EE5" s="112"/>
      <c r="EF5" s="112"/>
      <c r="EG5" s="112"/>
      <c r="EH5" s="113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4"/>
      <c r="CA6" s="115"/>
      <c r="CB6" s="115"/>
      <c r="CC6" s="115"/>
      <c r="CD6" s="115"/>
      <c r="CE6" s="115"/>
      <c r="CF6" s="115"/>
      <c r="CG6" s="115"/>
      <c r="CH6" s="115"/>
      <c r="CI6" s="116"/>
      <c r="CJ6" s="114"/>
      <c r="CK6" s="115"/>
      <c r="CL6" s="115"/>
      <c r="CM6" s="115"/>
      <c r="CN6" s="115"/>
      <c r="CO6" s="115"/>
      <c r="CP6" s="116"/>
      <c r="CQ6" s="114"/>
      <c r="CR6" s="115"/>
      <c r="CS6" s="115"/>
      <c r="CT6" s="115"/>
      <c r="CU6" s="115"/>
      <c r="CV6" s="115"/>
      <c r="CW6" s="115"/>
      <c r="CX6" s="115"/>
      <c r="CY6" s="116"/>
      <c r="CZ6" s="114"/>
      <c r="DA6" s="115"/>
      <c r="DB6" s="115"/>
      <c r="DC6" s="115"/>
      <c r="DD6" s="115"/>
      <c r="DE6" s="115"/>
      <c r="DF6" s="115"/>
      <c r="DG6" s="115"/>
      <c r="DH6" s="116"/>
      <c r="DI6" s="114"/>
      <c r="DJ6" s="115"/>
      <c r="DK6" s="115"/>
      <c r="DL6" s="115"/>
      <c r="DM6" s="115"/>
      <c r="DN6" s="115"/>
      <c r="DO6" s="115"/>
      <c r="DP6" s="116"/>
      <c r="DQ6" s="114"/>
      <c r="DR6" s="115"/>
      <c r="DS6" s="115"/>
      <c r="DT6" s="115"/>
      <c r="DU6" s="115"/>
      <c r="DV6" s="115"/>
      <c r="DW6" s="115"/>
      <c r="DX6" s="116"/>
      <c r="DY6" s="114"/>
      <c r="DZ6" s="115"/>
      <c r="EA6" s="115"/>
      <c r="EB6" s="115"/>
      <c r="EC6" s="115"/>
      <c r="ED6" s="115"/>
      <c r="EE6" s="115"/>
      <c r="EF6" s="115"/>
      <c r="EG6" s="115"/>
      <c r="EH6" s="116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O7" s="46"/>
      <c r="BZ7" s="114"/>
      <c r="CA7" s="115"/>
      <c r="CB7" s="115"/>
      <c r="CC7" s="115"/>
      <c r="CD7" s="115"/>
      <c r="CE7" s="115"/>
      <c r="CF7" s="115"/>
      <c r="CG7" s="115"/>
      <c r="CH7" s="115"/>
      <c r="CI7" s="116"/>
      <c r="CJ7" s="114"/>
      <c r="CK7" s="115"/>
      <c r="CL7" s="115"/>
      <c r="CM7" s="115"/>
      <c r="CN7" s="115"/>
      <c r="CO7" s="115"/>
      <c r="CP7" s="116"/>
      <c r="CQ7" s="114"/>
      <c r="CR7" s="115"/>
      <c r="CS7" s="115"/>
      <c r="CT7" s="115"/>
      <c r="CU7" s="115"/>
      <c r="CV7" s="115"/>
      <c r="CW7" s="115"/>
      <c r="CX7" s="115"/>
      <c r="CY7" s="116"/>
      <c r="CZ7" s="114"/>
      <c r="DA7" s="115"/>
      <c r="DB7" s="115"/>
      <c r="DC7" s="115"/>
      <c r="DD7" s="115"/>
      <c r="DE7" s="115"/>
      <c r="DF7" s="115"/>
      <c r="DG7" s="115"/>
      <c r="DH7" s="116"/>
      <c r="DI7" s="114"/>
      <c r="DJ7" s="115"/>
      <c r="DK7" s="115"/>
      <c r="DL7" s="115"/>
      <c r="DM7" s="115"/>
      <c r="DN7" s="115"/>
      <c r="DO7" s="115"/>
      <c r="DP7" s="116"/>
      <c r="DQ7" s="114"/>
      <c r="DR7" s="115"/>
      <c r="DS7" s="115"/>
      <c r="DT7" s="115"/>
      <c r="DU7" s="115"/>
      <c r="DV7" s="115"/>
      <c r="DW7" s="115"/>
      <c r="DX7" s="116"/>
      <c r="DY7" s="114"/>
      <c r="DZ7" s="115"/>
      <c r="EA7" s="115"/>
      <c r="EB7" s="115"/>
      <c r="EC7" s="115"/>
      <c r="ED7" s="115"/>
      <c r="EE7" s="115"/>
      <c r="EF7" s="115"/>
      <c r="EG7" s="115"/>
      <c r="EH7" s="116"/>
    </row>
    <row r="8" spans="1:167" ht="11.25" customHeight="1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O8" s="46"/>
      <c r="BZ8" s="131"/>
      <c r="CA8" s="132"/>
      <c r="CB8" s="132"/>
      <c r="CC8" s="132"/>
      <c r="CD8" s="132"/>
      <c r="CE8" s="132"/>
      <c r="CF8" s="132"/>
      <c r="CG8" s="132"/>
      <c r="CH8" s="132"/>
      <c r="CI8" s="133"/>
      <c r="CJ8" s="131"/>
      <c r="CK8" s="132"/>
      <c r="CL8" s="132"/>
      <c r="CM8" s="132"/>
      <c r="CN8" s="132"/>
      <c r="CO8" s="132"/>
      <c r="CP8" s="133"/>
      <c r="CQ8" s="131"/>
      <c r="CR8" s="132"/>
      <c r="CS8" s="132"/>
      <c r="CT8" s="132"/>
      <c r="CU8" s="132"/>
      <c r="CV8" s="132"/>
      <c r="CW8" s="132"/>
      <c r="CX8" s="132"/>
      <c r="CY8" s="133"/>
      <c r="CZ8" s="131"/>
      <c r="DA8" s="132"/>
      <c r="DB8" s="132"/>
      <c r="DC8" s="132"/>
      <c r="DD8" s="132"/>
      <c r="DE8" s="132"/>
      <c r="DF8" s="132"/>
      <c r="DG8" s="132"/>
      <c r="DH8" s="133"/>
      <c r="DI8" s="131"/>
      <c r="DJ8" s="132"/>
      <c r="DK8" s="132"/>
      <c r="DL8" s="132"/>
      <c r="DM8" s="132"/>
      <c r="DN8" s="132"/>
      <c r="DO8" s="132"/>
      <c r="DP8" s="133"/>
      <c r="DQ8" s="131"/>
      <c r="DR8" s="132"/>
      <c r="DS8" s="132"/>
      <c r="DT8" s="132"/>
      <c r="DU8" s="132"/>
      <c r="DV8" s="132"/>
      <c r="DW8" s="132"/>
      <c r="DX8" s="133"/>
      <c r="DY8" s="131"/>
      <c r="DZ8" s="132"/>
      <c r="EA8" s="132"/>
      <c r="EB8" s="132"/>
      <c r="EC8" s="132"/>
      <c r="ED8" s="132"/>
      <c r="EE8" s="132"/>
      <c r="EF8" s="132"/>
      <c r="EG8" s="132"/>
      <c r="EH8" s="133"/>
    </row>
    <row r="9" spans="1:167" ht="15" customHeight="1" x14ac:dyDescent="0.2">
      <c r="A9" s="156" t="s">
        <v>143</v>
      </c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4"/>
      <c r="S9" s="154"/>
      <c r="T9" s="154"/>
      <c r="U9" s="154"/>
      <c r="V9" s="154"/>
      <c r="W9" s="154"/>
      <c r="X9" s="154"/>
      <c r="Y9" s="154"/>
      <c r="Z9" s="37" t="s">
        <v>144</v>
      </c>
      <c r="AG9" s="156" t="s">
        <v>145</v>
      </c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4"/>
      <c r="BC9" s="154"/>
      <c r="BD9" s="154"/>
      <c r="BE9" s="154"/>
      <c r="BF9" s="37" t="s">
        <v>146</v>
      </c>
      <c r="BO9" s="46"/>
      <c r="BZ9" s="120">
        <v>1</v>
      </c>
      <c r="CA9" s="121"/>
      <c r="CB9" s="121"/>
      <c r="CC9" s="121"/>
      <c r="CD9" s="121"/>
      <c r="CE9" s="121"/>
      <c r="CF9" s="121"/>
      <c r="CG9" s="121"/>
      <c r="CH9" s="121"/>
      <c r="CI9" s="122"/>
      <c r="CJ9" s="120">
        <v>2</v>
      </c>
      <c r="CK9" s="121"/>
      <c r="CL9" s="121"/>
      <c r="CM9" s="121"/>
      <c r="CN9" s="121"/>
      <c r="CO9" s="121"/>
      <c r="CP9" s="122"/>
      <c r="CQ9" s="120">
        <v>3</v>
      </c>
      <c r="CR9" s="121"/>
      <c r="CS9" s="121"/>
      <c r="CT9" s="121"/>
      <c r="CU9" s="121"/>
      <c r="CV9" s="121"/>
      <c r="CW9" s="121"/>
      <c r="CX9" s="121"/>
      <c r="CY9" s="122"/>
      <c r="CZ9" s="120">
        <v>4</v>
      </c>
      <c r="DA9" s="121"/>
      <c r="DB9" s="121"/>
      <c r="DC9" s="121"/>
      <c r="DD9" s="121"/>
      <c r="DE9" s="121"/>
      <c r="DF9" s="121"/>
      <c r="DG9" s="121"/>
      <c r="DH9" s="122"/>
      <c r="DI9" s="120">
        <v>5</v>
      </c>
      <c r="DJ9" s="121"/>
      <c r="DK9" s="121"/>
      <c r="DL9" s="121"/>
      <c r="DM9" s="121"/>
      <c r="DN9" s="121"/>
      <c r="DO9" s="121"/>
      <c r="DP9" s="122"/>
      <c r="DQ9" s="120">
        <v>6</v>
      </c>
      <c r="DR9" s="121"/>
      <c r="DS9" s="121"/>
      <c r="DT9" s="121"/>
      <c r="DU9" s="121"/>
      <c r="DV9" s="121"/>
      <c r="DW9" s="121"/>
      <c r="DX9" s="122"/>
      <c r="DY9" s="120">
        <v>7</v>
      </c>
      <c r="DZ9" s="121"/>
      <c r="EA9" s="121"/>
      <c r="EB9" s="121"/>
      <c r="EC9" s="121"/>
      <c r="ED9" s="121"/>
      <c r="EE9" s="121"/>
      <c r="EF9" s="121"/>
      <c r="EG9" s="121"/>
      <c r="EH9" s="122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3" t="s">
        <v>160</v>
      </c>
      <c r="CA10" s="124"/>
      <c r="CB10" s="124"/>
      <c r="CC10" s="124"/>
      <c r="CD10" s="124"/>
      <c r="CE10" s="124"/>
      <c r="CF10" s="124"/>
      <c r="CG10" s="124"/>
      <c r="CH10" s="124"/>
      <c r="CI10" s="125"/>
      <c r="CJ10" s="126" t="s">
        <v>161</v>
      </c>
      <c r="CK10" s="127"/>
      <c r="CL10" s="127"/>
      <c r="CM10" s="127"/>
      <c r="CN10" s="127"/>
      <c r="CO10" s="127"/>
      <c r="CP10" s="128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53" t="s">
        <v>162</v>
      </c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O13" s="111" t="s">
        <v>135</v>
      </c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3"/>
      <c r="BF13" s="111" t="s">
        <v>136</v>
      </c>
      <c r="BG13" s="112"/>
      <c r="BH13" s="112"/>
      <c r="BI13" s="112"/>
      <c r="BJ13" s="112"/>
      <c r="BK13" s="112"/>
      <c r="BL13" s="112"/>
      <c r="BM13" s="112"/>
      <c r="BN13" s="112"/>
      <c r="BO13" s="112"/>
      <c r="BP13" s="112"/>
      <c r="BQ13" s="112"/>
      <c r="BR13" s="112"/>
      <c r="BS13" s="112"/>
      <c r="BT13" s="112"/>
      <c r="BU13" s="112"/>
      <c r="BV13" s="112"/>
      <c r="BW13" s="112"/>
      <c r="BX13" s="112"/>
      <c r="BY13" s="112"/>
      <c r="BZ13" s="112"/>
      <c r="CA13" s="112"/>
      <c r="CB13" s="112"/>
      <c r="CC13" s="112"/>
      <c r="CD13" s="112"/>
      <c r="CE13" s="113"/>
      <c r="CF13" s="111" t="s">
        <v>137</v>
      </c>
      <c r="CG13" s="112"/>
      <c r="CH13" s="112"/>
      <c r="CI13" s="112"/>
      <c r="CJ13" s="112"/>
      <c r="CK13" s="112"/>
      <c r="CL13" s="112"/>
      <c r="CM13" s="112"/>
      <c r="CN13" s="112"/>
      <c r="CO13" s="112"/>
      <c r="CP13" s="112"/>
      <c r="CQ13" s="112"/>
      <c r="CR13" s="112"/>
      <c r="CS13" s="112"/>
      <c r="CT13" s="112"/>
      <c r="CU13" s="112"/>
      <c r="CV13" s="112"/>
      <c r="CW13" s="112"/>
      <c r="CX13" s="112"/>
      <c r="CY13" s="113"/>
      <c r="CZ13" s="111" t="s">
        <v>138</v>
      </c>
      <c r="DA13" s="112"/>
      <c r="DB13" s="112"/>
      <c r="DC13" s="112"/>
      <c r="DD13" s="112"/>
      <c r="DE13" s="112"/>
      <c r="DF13" s="112"/>
      <c r="DG13" s="112"/>
      <c r="DH13" s="112"/>
      <c r="DI13" s="112"/>
      <c r="DJ13" s="112"/>
      <c r="DK13" s="112"/>
      <c r="DL13" s="112"/>
      <c r="DM13" s="112"/>
      <c r="DN13" s="112"/>
      <c r="DO13" s="112"/>
      <c r="DP13" s="112"/>
      <c r="DQ13" s="113"/>
      <c r="DR13" s="111" t="s">
        <v>139</v>
      </c>
      <c r="DS13" s="112"/>
      <c r="DT13" s="112"/>
      <c r="DU13" s="112"/>
      <c r="DV13" s="112"/>
      <c r="DW13" s="112"/>
      <c r="DX13" s="112"/>
      <c r="DY13" s="112"/>
      <c r="DZ13" s="112"/>
      <c r="EA13" s="112"/>
      <c r="EB13" s="112"/>
      <c r="EC13" s="112"/>
      <c r="ED13" s="112"/>
      <c r="EE13" s="112"/>
      <c r="EF13" s="112"/>
      <c r="EG13" s="112"/>
      <c r="EH13" s="113"/>
    </row>
    <row r="14" spans="1:167" ht="12" customHeight="1" x14ac:dyDescent="0.2">
      <c r="A14" s="44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O14" s="114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6"/>
      <c r="BF14" s="114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6"/>
      <c r="CF14" s="114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6"/>
      <c r="CZ14" s="114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6"/>
      <c r="DR14" s="114"/>
      <c r="DS14" s="115"/>
      <c r="DT14" s="115"/>
      <c r="DU14" s="115"/>
      <c r="DV14" s="115"/>
      <c r="DW14" s="115"/>
      <c r="DX14" s="115"/>
      <c r="DY14" s="115"/>
      <c r="DZ14" s="115"/>
      <c r="EA14" s="115"/>
      <c r="EB14" s="115"/>
      <c r="EC14" s="115"/>
      <c r="ED14" s="115"/>
      <c r="EE14" s="115"/>
      <c r="EF14" s="115"/>
      <c r="EG14" s="115"/>
      <c r="EH14" s="116"/>
    </row>
    <row r="15" spans="1:167" ht="18" customHeight="1" x14ac:dyDescent="0.2">
      <c r="A15" s="44"/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O15" s="114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6"/>
      <c r="BF15" s="114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6"/>
      <c r="CF15" s="114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6"/>
      <c r="CZ15" s="114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6"/>
      <c r="DR15" s="114"/>
      <c r="DS15" s="115"/>
      <c r="DT15" s="115"/>
      <c r="DU15" s="115"/>
      <c r="DV15" s="115"/>
      <c r="DW15" s="115"/>
      <c r="DX15" s="115"/>
      <c r="DY15" s="115"/>
      <c r="DZ15" s="115"/>
      <c r="EA15" s="115"/>
      <c r="EB15" s="115"/>
      <c r="EC15" s="115"/>
      <c r="ED15" s="115"/>
      <c r="EE15" s="115"/>
      <c r="EF15" s="115"/>
      <c r="EG15" s="115"/>
      <c r="EH15" s="116"/>
    </row>
    <row r="16" spans="1:167" ht="15" customHeight="1" x14ac:dyDescent="0.2"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O16" s="135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7"/>
      <c r="BF16" s="148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/>
      <c r="BQ16" s="149"/>
      <c r="BR16" s="149"/>
      <c r="BS16" s="149"/>
      <c r="BT16" s="149"/>
      <c r="BU16" s="149"/>
      <c r="BV16" s="149"/>
      <c r="BW16" s="149"/>
      <c r="BX16" s="149"/>
      <c r="BY16" s="149"/>
      <c r="BZ16" s="149"/>
      <c r="CA16" s="149"/>
      <c r="CB16" s="149"/>
      <c r="CC16" s="149"/>
      <c r="CD16" s="149"/>
      <c r="CE16" s="150"/>
      <c r="CF16" s="141"/>
      <c r="CG16" s="129"/>
      <c r="CH16" s="129"/>
      <c r="CI16" s="129"/>
      <c r="CJ16" s="129"/>
      <c r="CK16" s="129"/>
      <c r="CL16" s="129"/>
      <c r="CM16" s="129"/>
      <c r="CN16" s="129"/>
      <c r="CO16" s="129"/>
      <c r="CP16" s="129"/>
      <c r="CQ16" s="129"/>
      <c r="CR16" s="129"/>
      <c r="CS16" s="129"/>
      <c r="CT16" s="129"/>
      <c r="CU16" s="129"/>
      <c r="CV16" s="129"/>
      <c r="CW16" s="129"/>
      <c r="CX16" s="129"/>
      <c r="CY16" s="142"/>
      <c r="CZ16" s="135"/>
      <c r="DA16" s="136"/>
      <c r="DB16" s="136"/>
      <c r="DC16" s="136"/>
      <c r="DD16" s="136"/>
      <c r="DE16" s="136"/>
      <c r="DF16" s="136"/>
      <c r="DG16" s="136"/>
      <c r="DH16" s="136"/>
      <c r="DI16" s="136"/>
      <c r="DJ16" s="136"/>
      <c r="DK16" s="136"/>
      <c r="DL16" s="136"/>
      <c r="DM16" s="136"/>
      <c r="DN16" s="136"/>
      <c r="DO16" s="136"/>
      <c r="DP16" s="136"/>
      <c r="DQ16" s="137"/>
      <c r="DR16" s="144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6"/>
    </row>
    <row r="17" spans="3:138" ht="11.1" customHeight="1" x14ac:dyDescent="0.2"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7" t="s">
        <v>142</v>
      </c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3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O19" s="44"/>
      <c r="AZ19" s="151" t="s">
        <v>147</v>
      </c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EF19" s="36"/>
      <c r="EG19" s="36"/>
      <c r="EH19" s="42"/>
    </row>
    <row r="20" spans="3:138" ht="11.1" customHeight="1" x14ac:dyDescent="0.2"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4" t="s">
        <v>149</v>
      </c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DA22" s="43" t="s">
        <v>150</v>
      </c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2023-03-28T06:50:21Z</dcterms:modified>
</cp:coreProperties>
</file>