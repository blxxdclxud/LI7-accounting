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268" l="1"/>
  <c r="G2" i="268"/>
  <c r="H2" i="268"/>
  <c r="F3" i="268"/>
  <c r="G3" i="268"/>
  <c r="H3" i="268"/>
  <c r="F4" i="268"/>
  <c r="G4" i="268"/>
  <c r="H4" i="268"/>
  <c r="F5" i="268"/>
  <c r="G5" i="268"/>
  <c r="H5" i="268"/>
  <c r="F6" i="268"/>
  <c r="G6" i="268"/>
  <c r="H6" i="268"/>
  <c r="F7" i="268"/>
  <c r="G7" i="268"/>
  <c r="H7" i="268"/>
  <c r="F8" i="268"/>
  <c r="G8" i="268"/>
  <c r="H8" i="268"/>
  <c r="F9" i="268"/>
  <c r="G9" i="268"/>
  <c r="H9" i="268"/>
  <c r="F10" i="268"/>
  <c r="G10" i="268"/>
  <c r="H10" i="268"/>
  <c r="F11" i="268"/>
  <c r="G11" i="268"/>
  <c r="H11" i="268"/>
  <c r="F12" i="268"/>
  <c r="G12" i="268"/>
  <c r="H12" i="268"/>
  <c r="F13" i="268"/>
  <c r="G13" i="268"/>
  <c r="H13" i="268"/>
  <c r="F14" i="268"/>
  <c r="G14" i="268"/>
  <c r="H14" i="268"/>
  <c r="F15" i="268"/>
  <c r="G15" i="268"/>
  <c r="H15" i="268"/>
  <c r="F16" i="268"/>
  <c r="G16" i="268"/>
  <c r="H16" i="268"/>
  <c r="F17" i="268"/>
  <c r="G17" i="268"/>
  <c r="H17" i="268"/>
  <c r="F18" i="268"/>
  <c r="G18" i="268"/>
  <c r="H18" i="268"/>
  <c r="F19" i="268"/>
  <c r="G19" i="268"/>
  <c r="H19" i="268"/>
  <c r="F20" i="268"/>
  <c r="G20" i="268"/>
  <c r="H20" i="268"/>
  <c r="F21" i="268"/>
  <c r="G21" i="268"/>
  <c r="H21" i="268"/>
  <c r="F22" i="268"/>
  <c r="G22" i="268"/>
  <c r="H22" i="268"/>
  <c r="F23" i="268"/>
  <c r="G23" i="268"/>
  <c r="H23" i="268"/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33" i="282"/>
  <c r="C46" i="282" s="1"/>
  <c r="C31" i="282"/>
  <c r="C44" i="282" s="1"/>
  <c r="C29" i="282"/>
  <c r="C42" i="282" s="1"/>
  <c r="C17" i="282"/>
  <c r="C6" i="282"/>
  <c r="C19" i="282" s="1"/>
  <c r="C4" i="282"/>
  <c r="C2" i="282"/>
  <c r="C15" i="282" s="1"/>
  <c r="M2" i="268" l="1"/>
  <c r="H24" i="268" l="1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M22" i="268"/>
  <c r="M21" i="268"/>
  <c r="M20" i="268"/>
  <c r="M19" i="268"/>
  <c r="M18" i="268"/>
  <c r="M17" i="268"/>
  <c r="M16" i="268"/>
  <c r="M15" i="268"/>
  <c r="M14" i="268"/>
  <c r="M13" i="268"/>
  <c r="M12" i="268"/>
  <c r="M11" i="268"/>
  <c r="M10" i="268"/>
  <c r="M9" i="268"/>
  <c r="M8" i="268"/>
  <c r="M7" i="268"/>
  <c r="M6" i="268"/>
  <c r="M5" i="268"/>
  <c r="M4" i="268"/>
  <c r="M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<sst xmlns="http://schemas.openxmlformats.org/spreadsheetml/2006/main" count="2525" uniqueCount="493">
  <si>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</si>
  <si>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</si>
  <si>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</si>
  <si>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</si>
  <si>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</si>
  <si>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</si>
  <si>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</si>
  <si>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</si>
  <si>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</si>
  <si>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</si>
  <si>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</si>
  <si>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</si>
  <si>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</si>
  <si>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</si>
  <si>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</si>
  <si>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</si>
  <si>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</si>
  <si>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</si>
  <si>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</si>
  <si>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</si>
  <si>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</si>
  <si>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</si>
  <si>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</si>
  <si>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</si>
  <si>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</si>
  <si>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</si>
  <si>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</si>
  <si>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</si>
  <si>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</si>
  <si>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</si>
  <si>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</si>
  <si>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</si>
  <si>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</si>
  <si>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</si>
  <si>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</si>
  <si>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</si>
  <si>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</si>
  <si>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</si>
  <si>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</si>
  <si>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</si>
  <si>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</si>
  <si>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</si>
  <si>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</si>
  <si>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</si>
  <si>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</si>
  <si>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</si>
  <si>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</si>
  <si>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</si>
  <si>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</si>
  <si>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</si>
  <si>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</si>
  <si>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</si>
  <si>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</si>
  <si>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</si>
  <si>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</si>
  <si>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</si>
  <si>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</si>
  <si>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</si>
  <si>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</si>
  <si>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</si>
  <si>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</si>
  <si>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</si>
  <si>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</si>
  <si>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</si>
  <si>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</si>
  <si>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</si>
  <si>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</si>
  <si>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</si>
  <si>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</si>
  <si>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</si>
  <si>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</si>
  <si>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</si>
  <si>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</si>
  <si>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</si>
  <si>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</si>
  <si>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</si>
  <si>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</si>
  <si>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</si>
  <si>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</si>
  <si>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</si>
  <si>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</si>
  <si>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</si>
  <si>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</si>
  <si>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</si>
  <si>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</si>
  <si>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</si>
  <si>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</si>
  <si>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</si>
  <si>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</si>
  <si>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</si>
  <si>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</si>
  <si>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</si>
  <si>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</si>
  <si>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</si>
  <si>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</si>
  <si>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</si>
  <si>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</si>
  <si>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</si>
  <si>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</si>
  <si>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</si>
  <si>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</si>
  <si>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</si>
  <si>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</si>
  <si>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</si>
  <si>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</si>
  <si>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</si>
  <si>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</si>
  <si>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</si>
  <si>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</si>
  <si>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</si>
  <si>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</si>
  <si>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</si>
  <si>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</si>
  <si>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</si>
  <si>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</si>
  <si>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</si>
  <si>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</si>
  <si>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</si>
  <si>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</si>
  <si>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</si>
  <si>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</si>
  <si>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</si>
  <si>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</si>
  <si>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</si>
  <si>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</si>
  <si>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</si>
  <si>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</si>
  <si>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</si>
  <si>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</si>
  <si>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</si>
  <si>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</si>
  <si>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</si>
  <si>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</si>
  <si>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</si>
  <si>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</si>
  <si>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</si>
  <si>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</si>
  <si>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</si>
  <si>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</si>
  <si>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</si>
  <si>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</si>
  <si>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</si>
  <si>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</si>
  <si>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</si>
  <si>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</si>
  <si>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</si>
  <si>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</si>
  <si>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</si>
  <si>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</si>
  <si>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</si>
  <si>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</si>
  <si>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</si>
  <si>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</si>
  <si>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</si>
  <si>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</si>
  <si>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</si>
  <si>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</si>
  <si>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</si>
  <si>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</si>
  <si>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</si>
  <si>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</si>
  <si>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</si>
  <si>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</si>
  <si>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</si>
  <si>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</si>
  <si>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</si>
  <si>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</si>
  <si>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</si>
  <si>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</si>
  <si>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</si>
  <si>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</si>
  <si>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</si>
  <si>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</si>
  <si>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</si>
  <si>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</si>
  <si>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</si>
  <si>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</si>
  <si>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</si>
  <si>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</si>
  <si>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</si>
  <si>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</si>
  <si>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</si>
  <si>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</si>
  <si>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</si>
  <si>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</si>
  <si>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</si>
  <si>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</si>
  <si>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</si>
  <si>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</si>
  <si>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</si>
  <si>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</si>
  <si>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</si>
  <si>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</si>
  <si>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</si>
  <si>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</si>
  <si>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</si>
  <si>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</si>
  <si>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</si>
  <si>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</si>
  <si>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</si>
  <si>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</si>
  <si>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</si>
  <si>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</si>
  <si>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</si>
  <si>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</si>
  <si>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</si>
  <si>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</si>
  <si>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</si>
  <si>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</si>
  <si>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</si>
  <si>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</si>
  <si>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</si>
  <si>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</si>
  <si>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</si>
  <si>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</si>
  <si>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</si>
  <si>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</si>
  <si>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</si>
  <si>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</si>
  <si>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</si>
  <si>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</si>
  <si>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</si>
  <si>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</si>
  <si>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</si>
  <si>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</si>
  <si>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</si>
  <si>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</si>
  <si>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</si>
  <si>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</si>
  <si>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</si>
  <si>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</si>
  <si>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</si>
  <si>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</si>
  <si>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</si>
  <si>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</si>
  <si>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</si>
  <si>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</si>
  <si>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</si>
  <si>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</si>
  <si>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</si>
  <si>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</si>
  <si>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</si>
  <si>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</si>
  <si>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</si>
  <si>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</si>
  <si>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</si>
  <si>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</si>
  <si>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</si>
  <si>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</si>
  <si>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</si>
  <si>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</si>
  <si>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</si>
  <si>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</si>
  <si>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</si>
  <si>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</si>
  <si>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</si>
  <si>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</si>
  <si>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</si>
  <si>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</si>
  <si>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</si>
  <si>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</si>
  <si>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</si>
  <si>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</si>
  <si>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</si>
  <si>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</si>
  <si>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</si>
  <si>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</si>
  <si>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</si>
  <si>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</si>
  <si>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</si>
  <si>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</si>
  <si>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</si>
  <si>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</si>
  <si>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</si>
  <si>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</si>
  <si>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</si>
  <si>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</si>
  <si>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</si>
  <si>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</si>
  <si>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</si>
  <si>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</si>
  <si>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</si>
  <si>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</si>
  <si>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</si>
  <si>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</si>
  <si>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</si>
  <si>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</si>
  <si>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</si>
  <si>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</si>
  <si>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</si>
  <si>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</si>
  <si>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</si>
  <si>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</si>
  <si>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</si>
  <si>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</si>
  <si>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</si>
  <si>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</si>
  <si>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</si>
  <si>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</si>
  <si>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</si>
  <si>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</si>
  <si>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</si>
  <si>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</si>
  <si>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</si>
  <si>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</si>
  <si>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</si>
  <si>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</si>
  <si>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</si>
  <si>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</si>
  <si>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</si>
  <si>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</si>
  <si>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</si>
  <si>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</si>
  <si>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</si>
  <si>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</si>
  <si>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</si>
  <si>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</si>
  <si>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</si>
  <si>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</si>
  <si>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</si>
  <si>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</si>
  <si>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</si>
  <si>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</si>
  <si>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</si>
  <si>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</si>
  <si>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</si>
  <si>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</si>
  <si>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</si>
  <si>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</si>
  <si>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</si>
  <si>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</si>
  <si>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</si>
  <si>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</si>
  <si>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</si>
  <si>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</si>
  <si>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</si>
  <si>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</si>
  <si>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</si>
  <si>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</si>
  <si>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</si>
  <si>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</si>
  <si>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</si>
  <si>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</si>
  <si>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</si>
  <si>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</si>
  <si>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</si>
  <si>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</si>
  <si>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</si>
  <si>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</si>
  <si>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</si>
  <si>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</si>
  <si>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</si>
  <si>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</si>
  <si>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</si>
  <si>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</si>
  <si>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</si>
  <si>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</si>
  <si>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</si>
  <si>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</si>
  <si>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</si>
  <si>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</si>
  <si>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</si>
  <si>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</si>
  <si>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</si>
  <si>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</si>
  <si>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</si>
  <si>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</si>
  <si>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</si>
  <si>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</si>
  <si>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</si>
  <si>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</si>
  <si>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</si>
  <si>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</si>
  <si>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</si>
  <si>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</si>
  <si>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</si>
  <si>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</si>
  <si>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</si>
  <si>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</si>
  <si>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</si>
  <si>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</si>
  <si>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</si>
  <si>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</si>
  <si>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</si>
  <si>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</si>
  <si>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</si>
  <si>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</si>
  <si>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</si>
  <si>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</si>
  <si>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</si>
  <si>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</si>
  <si>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</si>
  <si>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</si>
  <si>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</si>
  <si>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</si>
  <si>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</si>
  <si>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</si>
  <si>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ноябрь</t>
  </si>
  <si>
    <t xml:space="preserve">00259 </t>
  </si>
  <si>
    <t xml:space="preserve">Аджигитов Муса Рафаэльевич                        </t>
  </si>
  <si>
    <t xml:space="preserve">8а доп              </t>
  </si>
  <si>
    <t xml:space="preserve">00260 </t>
  </si>
  <si>
    <t xml:space="preserve">Алтынбаев Ясин Айратович                          </t>
  </si>
  <si>
    <t xml:space="preserve">00261 </t>
  </si>
  <si>
    <t xml:space="preserve">Ахметов Адиль Альбертович                         </t>
  </si>
  <si>
    <t xml:space="preserve">00263 </t>
  </si>
  <si>
    <t xml:space="preserve">Бикташев Юсуф Рустемович                          </t>
  </si>
  <si>
    <t xml:space="preserve">00265 </t>
  </si>
  <si>
    <t xml:space="preserve">Габбасов Ахмет Ринатович                          </t>
  </si>
  <si>
    <t xml:space="preserve">00266 </t>
  </si>
  <si>
    <t xml:space="preserve">Галявиев Фатих Наилевич                           </t>
  </si>
  <si>
    <t xml:space="preserve">00267 </t>
  </si>
  <si>
    <t xml:space="preserve">Гараев Ислам Рустемович                           </t>
  </si>
  <si>
    <t xml:space="preserve">00269 </t>
  </si>
  <si>
    <t xml:space="preserve">Гилманов Билал Рустемович                         </t>
  </si>
  <si>
    <t xml:space="preserve">00268 </t>
  </si>
  <si>
    <t xml:space="preserve">Гилязов Дамир Рустамович                          </t>
  </si>
  <si>
    <t xml:space="preserve">00270 </t>
  </si>
  <si>
    <t xml:space="preserve">Гумиров Эдвард Рамилевич                          </t>
  </si>
  <si>
    <t>000889</t>
  </si>
  <si>
    <t xml:space="preserve">Зинуров Рашид Рустемович                          </t>
  </si>
  <si>
    <t xml:space="preserve">00273 </t>
  </si>
  <si>
    <t xml:space="preserve">Исрафилов Умар Айратович                          </t>
  </si>
  <si>
    <t xml:space="preserve">00274 </t>
  </si>
  <si>
    <t xml:space="preserve">Минаков Михаил Александрович                      </t>
  </si>
  <si>
    <t xml:space="preserve">00275 </t>
  </si>
  <si>
    <t xml:space="preserve">Надиров Закир Адилевич                            </t>
  </si>
  <si>
    <t xml:space="preserve">00469 </t>
  </si>
  <si>
    <t xml:space="preserve">Назмиев Рамзиль Зуфарович                         </t>
  </si>
  <si>
    <t xml:space="preserve">00277 </t>
  </si>
  <si>
    <t xml:space="preserve">Низамов Гусман Альфисович                         </t>
  </si>
  <si>
    <t xml:space="preserve">00279 </t>
  </si>
  <si>
    <t xml:space="preserve">Сайфутдинов Искандер Ильнурович                   </t>
  </si>
  <si>
    <t xml:space="preserve">00280 </t>
  </si>
  <si>
    <t xml:space="preserve">Сахапов Ринат Гайнутдинович                       </t>
  </si>
  <si>
    <t xml:space="preserve">00281 </t>
  </si>
  <si>
    <t xml:space="preserve">Хамматов Карим Ирекович                           </t>
  </si>
  <si>
    <t xml:space="preserve">00283 </t>
  </si>
  <si>
    <t xml:space="preserve">Шайхутдинов Амир Эдуардович                       </t>
  </si>
  <si>
    <t>000712</t>
  </si>
  <si>
    <t xml:space="preserve">Шакиров Раиль Идрисович                           </t>
  </si>
  <si>
    <t>00259</t>
  </si>
  <si>
    <t>00260</t>
  </si>
  <si>
    <t>00261</t>
  </si>
  <si>
    <t>00263</t>
  </si>
  <si>
    <t>00265</t>
  </si>
  <si>
    <t>00266</t>
  </si>
  <si>
    <t>00267</t>
  </si>
  <si>
    <t>00269</t>
  </si>
  <si>
    <t>00268</t>
  </si>
  <si>
    <t>00270</t>
  </si>
  <si>
    <t>00273</t>
  </si>
  <si>
    <t>00274</t>
  </si>
  <si>
    <t>00275</t>
  </si>
  <si>
    <t>00469</t>
  </si>
  <si>
    <t>00277</t>
  </si>
  <si>
    <t>00279</t>
  </si>
  <si>
    <t>00280</t>
  </si>
  <si>
    <t>00281</t>
  </si>
  <si>
    <t>00283</t>
  </si>
  <si>
    <t>Сумма: 2025 руб. 00 коп.</t>
  </si>
  <si>
    <t>Сумма: 4050 руб. 00 коп.</t>
  </si>
  <si>
    <t>Сумма: 12150 руб. 00 коп.</t>
  </si>
  <si>
    <t>Сумма: 8100 руб. 00 коп.</t>
  </si>
  <si>
    <t>январь</t>
  </si>
  <si>
    <t>ЛС: 00259; ФИО обучающегося: Аджигитов Муса Рафаэльевич                        ; Назначение: 8а доп февр; КБК: 82100000000000000131; ОКТМО: 92701000</t>
  </si>
  <si>
    <t>ЛС: 00260; ФИО обучающегося: Алтынбаев Ясин Айратович                          ; Назначение: 8а доп февр; КБК: 82100000000000000131; ОКТМО: 92701000</t>
  </si>
  <si>
    <t>ЛС: 00261; ФИО обучающегося: Ахметов Адиль Альбертович                         ; Назначение: 8а доп февр; КБК: 82100000000000000131; ОКТМО: 92701000</t>
  </si>
  <si>
    <t>ЛС: 00262; ФИО обучающегося: Батурин Иван Игоревич                             ; Назначение: 8а доп февр; КБК: 82100000000000000131; ОКТМО: 92701000</t>
  </si>
  <si>
    <t>Сумма: 3800 руб. 00 коп.</t>
  </si>
  <si>
    <t>ЛС: 00263; ФИО обучающегося: Бикташев Юсуф Рустемович                          ; Назначение: 8а доп февр; КБК: 82100000000000000131; ОКТМО: 92701000</t>
  </si>
  <si>
    <t>ЛС: 00265; ФИО обучающегося: Габбасов Ахмет Ринатович                          ; Назначение: 8а доп февр; КБК: 82100000000000000131; ОКТМО: 92701000</t>
  </si>
  <si>
    <t>ЛС: 00266; ФИО обучающегося: Галявиев Фатих Наилевич                           ; Назначение: 8а доп февр; КБК: 82100000000000000131; ОКТМО: 92701000</t>
  </si>
  <si>
    <t>ЛС: 00267; ФИО обучающегося: Гараев Ислам Рустемович                           ; Назначение: 8а доп февр; КБК: 82100000000000000131; ОКТМО: 92701000</t>
  </si>
  <si>
    <t>ЛС: 00269; ФИО обучающегося: Гилманов Билал Рустемович                         ; Назначение: 8а доп февр; КБК: 82100000000000000131; ОКТМО: 92701000</t>
  </si>
  <si>
    <t>ЛС: 00268; ФИО обучающегося: Гилязов Дамир Рустамович                          ; Назначение: 8а доп февр; КБК: 82100000000000000131; ОКТМО: 92701000</t>
  </si>
  <si>
    <t>ЛС: 00270; ФИО обучающегося: Гумиров Эдвард Рамилевич                          ; Назначение: 8а доп февр; КБК: 82100000000000000131; ОКТМО: 92701000</t>
  </si>
  <si>
    <t>ЛС: 000889; ФИО обучающегося: Зинуров Рашид Рустемович                          ; Назначение: 8а доп февр; КБК: 82100000000000000131; ОКТМО: 92701000</t>
  </si>
  <si>
    <t>ЛС: 00273; ФИО обучающегося: Исрафилов Умар Айратович                          ; Назначение: 8а доп февр; КБК: 82100000000000000131; ОКТМО: 92701000</t>
  </si>
  <si>
    <t>ЛС: 00274; ФИО обучающегося: Минаков Михаил Александрович                      ; Назначение: 8а доп февр; КБК: 82100000000000000131; ОКТМО: 92701000</t>
  </si>
  <si>
    <t>ЛС: 00275; ФИО обучающегося: Надиров Закир Адилевич                            ; Назначение: 8а доп февр; КБК: 82100000000000000131; ОКТМО: 92701000</t>
  </si>
  <si>
    <t>ЛС: 00469; ФИО обучающегося: Назмиев Рамзиль Зуфарович                         ; Назначение: 8а доп февр; КБК: 82100000000000000131; ОКТМО: 92701000</t>
  </si>
  <si>
    <t>ЛС: 00277; ФИО обучающегося: Низамов Гусман Альфисович                         ; Назначение: 8а доп февр; КБК: 82100000000000000131; ОКТМО: 92701000</t>
  </si>
  <si>
    <t>ЛС: 00279; ФИО обучающегося: Сайфутдинов Искандер Ильнурович                   ; Назначение: 8а доп февр; КБК: 82100000000000000131; ОКТМО: 92701000</t>
  </si>
  <si>
    <t>ЛС: 00280; ФИО обучающегося: Сахапов Ринат Гайнутдинович                       ; Назначение: 8а доп февр; КБК: 82100000000000000131; ОКТМО: 92701000</t>
  </si>
  <si>
    <t>ЛС: 00281; ФИО обучающегося: Хамматов Карим Ирекович                           ; Назначение: 8а доп февр; КБК: 82100000000000000131; ОКТМО: 92701000</t>
  </si>
  <si>
    <t>ЛС: 00283; ФИО обучающегося: Шайхутдинов Амир Эдуардович                       ; Назначение: 8а доп февр; КБК: 82100000000000000131; ОКТМО: 92701000</t>
  </si>
  <si>
    <t>ЛС: 000712; ФИО обучающегося: Шакиров Раиль Идрисович                           ; Назначение: 8а доп февр; КБК: 82100000000000000131; ОКТМО: 92701000</t>
  </si>
  <si>
    <t>март</t>
  </si>
  <si>
    <t xml:space="preserve">00272 </t>
  </si>
  <si>
    <t xml:space="preserve">Загидуллин Фират Маратович                        </t>
  </si>
  <si>
    <t>8а доп март</t>
  </si>
  <si>
    <t>00272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</si>
</sst>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8" headerRowDxfId="23" dataDxfId="21" totalsRowDxfId="19" headerRowBorderDxfId="22" tableBorderDxfId="20">
  <autoFilter ref="A6:H28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3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398</v>
      </c>
      <c r="B2" s="92" t="s">
        <v>399</v>
      </c>
      <c r="C2" s="92" t="s">
        <v>400</v>
      </c>
      <c r="D2" s="92" t="s">
        <v>488</v>
      </c>
      <c r="E2" s="93">
        <v>2025</v>
      </c>
      <c r="F2" s="98" t="str">
        <f>TRIM(A2)</f>
        <v>00259</v>
      </c>
      <c r="G2" s="31" t="str">
        <f t="shared" ref="G2:G46" si="0">B2</f>
        <v xml:space="preserve">Аджигитов Муса Рафаэльевич                        </v>
      </c>
      <c r="H2" s="31" t="str">
        <f>CONCATENATE(TRIM(C2)," ",D2)</f>
        <v>8а доп март</v>
      </c>
      <c r="I2" s="94" t="s">
        <v>396</v>
      </c>
      <c r="J2" s="31">
        <v>92701000</v>
      </c>
      <c r="M2" s="31">
        <f t="shared" ref="M2:M63" si="1">E2</f>
        <v>2025</v>
      </c>
    </row>
    <row r="3" spans="1:13" x14ac:dyDescent="0.25">
      <c r="A3" s="92" t="s">
        <v>401</v>
      </c>
      <c r="B3" s="92" t="s">
        <v>402</v>
      </c>
      <c r="C3" s="92" t="s">
        <v>400</v>
      </c>
      <c r="D3" s="92" t="s">
        <v>488</v>
      </c>
      <c r="E3" s="93">
        <v>4050</v>
      </c>
      <c r="F3" s="98" t="str">
        <f t="shared" ref="F3:F66" si="2">TRIM(A3)</f>
        <v>00260</v>
      </c>
      <c r="G3" s="31" t="str">
        <f t="shared" si="0"/>
        <v xml:space="preserve">Алтынбаев Ясин Айратович                          </v>
      </c>
      <c r="H3" s="31" t="str">
        <f t="shared" ref="H3:H66" si="3">CONCATENATE(TRIM(C3)," ",D3)</f>
        <v>8а доп март</v>
      </c>
      <c r="I3" s="94" t="s">
        <v>396</v>
      </c>
      <c r="J3" s="31">
        <v>92701000</v>
      </c>
      <c r="M3" s="31">
        <f t="shared" si="1"/>
        <v>4050</v>
      </c>
    </row>
    <row r="4" spans="1:13" x14ac:dyDescent="0.25">
      <c r="A4" s="92" t="s">
        <v>403</v>
      </c>
      <c r="B4" s="92" t="s">
        <v>404</v>
      </c>
      <c r="C4" s="92" t="s">
        <v>400</v>
      </c>
      <c r="D4" s="92" t="s">
        <v>488</v>
      </c>
      <c r="E4" s="93">
        <v>4050</v>
      </c>
      <c r="F4" s="98" t="str">
        <f t="shared" si="2"/>
        <v>00261</v>
      </c>
      <c r="G4" s="31" t="str">
        <f t="shared" si="0"/>
        <v xml:space="preserve">Ахметов Адиль Альбертович                         </v>
      </c>
      <c r="H4" s="31" t="str">
        <f t="shared" si="3"/>
        <v>8а доп март</v>
      </c>
      <c r="I4" s="94" t="s">
        <v>396</v>
      </c>
      <c r="J4" s="31">
        <v>92701000</v>
      </c>
      <c r="M4" s="31">
        <f t="shared" si="1"/>
        <v>4050</v>
      </c>
    </row>
    <row r="5" spans="1:13" x14ac:dyDescent="0.25">
      <c r="A5" s="92" t="s">
        <v>405</v>
      </c>
      <c r="B5" s="92" t="s">
        <v>406</v>
      </c>
      <c r="C5" s="92" t="s">
        <v>400</v>
      </c>
      <c r="D5" s="92" t="s">
        <v>488</v>
      </c>
      <c r="E5" s="93">
        <v>4050</v>
      </c>
      <c r="F5" s="98" t="str">
        <f t="shared" si="2"/>
        <v>00263</v>
      </c>
      <c r="G5" s="31" t="str">
        <f t="shared" si="0"/>
        <v xml:space="preserve">Бикташев Юсуф Рустемович                          </v>
      </c>
      <c r="H5" s="31" t="str">
        <f t="shared" si="3"/>
        <v>8а доп март</v>
      </c>
      <c r="I5" s="94" t="s">
        <v>396</v>
      </c>
      <c r="J5" s="31">
        <v>92701000</v>
      </c>
      <c r="M5" s="31">
        <f t="shared" si="1"/>
        <v>4050</v>
      </c>
    </row>
    <row r="6" spans="1:13" x14ac:dyDescent="0.25">
      <c r="A6" s="92" t="s">
        <v>407</v>
      </c>
      <c r="B6" s="92" t="s">
        <v>408</v>
      </c>
      <c r="C6" s="92" t="s">
        <v>400</v>
      </c>
      <c r="D6" s="92" t="s">
        <v>488</v>
      </c>
      <c r="E6" s="93">
        <v>4050</v>
      </c>
      <c r="F6" s="98" t="str">
        <f t="shared" si="2"/>
        <v>00265</v>
      </c>
      <c r="G6" s="31" t="str">
        <f t="shared" si="0"/>
        <v xml:space="preserve">Габбасов Ахмет Ринатович                          </v>
      </c>
      <c r="H6" s="31" t="str">
        <f t="shared" si="3"/>
        <v>8а доп март</v>
      </c>
      <c r="I6" s="94" t="s">
        <v>396</v>
      </c>
      <c r="J6" s="31">
        <v>92701000</v>
      </c>
      <c r="M6" s="31">
        <f t="shared" si="1"/>
        <v>4050</v>
      </c>
    </row>
    <row r="7" spans="1:13" x14ac:dyDescent="0.25">
      <c r="A7" s="92" t="s">
        <v>409</v>
      </c>
      <c r="B7" s="92" t="s">
        <v>410</v>
      </c>
      <c r="C7" s="92" t="s">
        <v>400</v>
      </c>
      <c r="D7" s="92" t="s">
        <v>488</v>
      </c>
      <c r="E7" s="93">
        <v>8100</v>
      </c>
      <c r="F7" s="98" t="str">
        <f t="shared" si="2"/>
        <v>00266</v>
      </c>
      <c r="G7" s="31" t="str">
        <f t="shared" si="0"/>
        <v xml:space="preserve">Галявиев Фатих Наилевич                           </v>
      </c>
      <c r="H7" s="31" t="str">
        <f t="shared" si="3"/>
        <v>8а доп март</v>
      </c>
      <c r="I7" s="94" t="s">
        <v>396</v>
      </c>
      <c r="J7" s="31">
        <v>92701000</v>
      </c>
      <c r="M7" s="31">
        <f t="shared" si="1"/>
        <v>8100</v>
      </c>
    </row>
    <row r="8" spans="1:13" x14ac:dyDescent="0.25">
      <c r="A8" s="92" t="s">
        <v>411</v>
      </c>
      <c r="B8" s="92" t="s">
        <v>412</v>
      </c>
      <c r="C8" s="92" t="s">
        <v>400</v>
      </c>
      <c r="D8" s="92" t="s">
        <v>488</v>
      </c>
      <c r="E8" s="93">
        <v>4050</v>
      </c>
      <c r="F8" s="98" t="str">
        <f t="shared" si="2"/>
        <v>00267</v>
      </c>
      <c r="G8" s="31" t="str">
        <f t="shared" si="0"/>
        <v xml:space="preserve">Гараев Ислам Рустемович                           </v>
      </c>
      <c r="H8" s="31" t="str">
        <f t="shared" si="3"/>
        <v>8а доп март</v>
      </c>
      <c r="I8" s="94" t="s">
        <v>396</v>
      </c>
      <c r="J8" s="31">
        <v>92701000</v>
      </c>
      <c r="M8" s="31">
        <f t="shared" si="1"/>
        <v>4050</v>
      </c>
    </row>
    <row r="9" spans="1:13" x14ac:dyDescent="0.25">
      <c r="A9" s="92" t="s">
        <v>413</v>
      </c>
      <c r="B9" s="92" t="s">
        <v>414</v>
      </c>
      <c r="C9" s="92" t="s">
        <v>400</v>
      </c>
      <c r="D9" s="92" t="s">
        <v>488</v>
      </c>
      <c r="E9" s="93">
        <v>4050</v>
      </c>
      <c r="F9" s="98" t="str">
        <f t="shared" si="2"/>
        <v>00269</v>
      </c>
      <c r="G9" s="31" t="str">
        <f t="shared" si="0"/>
        <v xml:space="preserve">Гилманов Билал Рустемович                         </v>
      </c>
      <c r="H9" s="31" t="str">
        <f t="shared" si="3"/>
        <v>8а доп март</v>
      </c>
      <c r="I9" s="94" t="s">
        <v>396</v>
      </c>
      <c r="J9" s="31">
        <v>92701000</v>
      </c>
      <c r="M9" s="31">
        <f t="shared" si="1"/>
        <v>4050</v>
      </c>
    </row>
    <row r="10" spans="1:13" x14ac:dyDescent="0.25">
      <c r="A10" s="92" t="s">
        <v>415</v>
      </c>
      <c r="B10" s="92" t="s">
        <v>416</v>
      </c>
      <c r="C10" s="92" t="s">
        <v>400</v>
      </c>
      <c r="D10" s="92" t="s">
        <v>488</v>
      </c>
      <c r="E10" s="93">
        <v>12150</v>
      </c>
      <c r="F10" s="98" t="str">
        <f t="shared" si="2"/>
        <v>00268</v>
      </c>
      <c r="G10" s="31" t="str">
        <f t="shared" si="0"/>
        <v xml:space="preserve">Гилязов Дамир Рустамович                          </v>
      </c>
      <c r="H10" s="31" t="str">
        <f t="shared" si="3"/>
        <v>8а доп март</v>
      </c>
      <c r="I10" s="94" t="s">
        <v>396</v>
      </c>
      <c r="J10" s="31">
        <v>92701000</v>
      </c>
      <c r="M10" s="31">
        <f t="shared" si="1"/>
        <v>12150</v>
      </c>
    </row>
    <row r="11" spans="1:13" x14ac:dyDescent="0.25">
      <c r="A11" s="92" t="s">
        <v>417</v>
      </c>
      <c r="B11" s="92" t="s">
        <v>418</v>
      </c>
      <c r="C11" s="92" t="s">
        <v>400</v>
      </c>
      <c r="D11" s="92" t="s">
        <v>488</v>
      </c>
      <c r="E11" s="93">
        <v>4050</v>
      </c>
      <c r="F11" s="98" t="str">
        <f t="shared" si="2"/>
        <v>00270</v>
      </c>
      <c r="G11" s="31" t="str">
        <f t="shared" si="0"/>
        <v xml:space="preserve">Гумиров Эдвард Рамилевич                          </v>
      </c>
      <c r="H11" s="31" t="str">
        <f t="shared" si="3"/>
        <v>8а доп март</v>
      </c>
      <c r="I11" s="94" t="s">
        <v>396</v>
      </c>
      <c r="J11" s="31">
        <v>92701000</v>
      </c>
      <c r="M11" s="31">
        <f t="shared" si="1"/>
        <v>4050</v>
      </c>
    </row>
    <row r="12" spans="1:13" x14ac:dyDescent="0.25">
      <c r="A12" s="92" t="s">
        <v>489</v>
      </c>
      <c r="B12" s="92" t="s">
        <v>490</v>
      </c>
      <c r="C12" s="92" t="s">
        <v>400</v>
      </c>
      <c r="D12" s="92" t="s">
        <v>488</v>
      </c>
      <c r="E12" s="93">
        <v>4050</v>
      </c>
      <c r="F12" s="98" t="str">
        <f t="shared" si="2"/>
        <v>00272</v>
      </c>
      <c r="G12" s="31" t="str">
        <f t="shared" si="0"/>
        <v xml:space="preserve">Загидуллин Фират Маратович                        </v>
      </c>
      <c r="H12" s="31" t="str">
        <f t="shared" si="3"/>
        <v>8а доп март</v>
      </c>
      <c r="I12" s="94" t="s">
        <v>396</v>
      </c>
      <c r="J12" s="31">
        <v>92701000</v>
      </c>
      <c r="M12" s="31">
        <f t="shared" si="1"/>
        <v>4050</v>
      </c>
    </row>
    <row r="13" spans="1:13" x14ac:dyDescent="0.25">
      <c r="A13" s="92" t="s">
        <v>419</v>
      </c>
      <c r="B13" s="92" t="s">
        <v>420</v>
      </c>
      <c r="C13" s="92" t="s">
        <v>400</v>
      </c>
      <c r="D13" s="92" t="s">
        <v>488</v>
      </c>
      <c r="E13" s="93">
        <v>8100</v>
      </c>
      <c r="F13" s="98" t="str">
        <f t="shared" si="2"/>
        <v>000889</v>
      </c>
      <c r="G13" s="31" t="str">
        <f t="shared" si="0"/>
        <v xml:space="preserve">Зинуров Рашид Рустемович                          </v>
      </c>
      <c r="H13" s="31" t="str">
        <f t="shared" si="3"/>
        <v>8а доп март</v>
      </c>
      <c r="I13" s="94" t="s">
        <v>396</v>
      </c>
      <c r="J13" s="31">
        <v>92701000</v>
      </c>
      <c r="M13" s="31">
        <f t="shared" si="1"/>
        <v>8100</v>
      </c>
    </row>
    <row r="14" spans="1:13" x14ac:dyDescent="0.25">
      <c r="A14" s="92" t="s">
        <v>421</v>
      </c>
      <c r="B14" s="92" t="s">
        <v>422</v>
      </c>
      <c r="C14" s="92" t="s">
        <v>400</v>
      </c>
      <c r="D14" s="92" t="s">
        <v>488</v>
      </c>
      <c r="E14" s="93">
        <v>2025</v>
      </c>
      <c r="F14" s="98" t="str">
        <f t="shared" si="2"/>
        <v>00273</v>
      </c>
      <c r="G14" s="31" t="str">
        <f t="shared" si="0"/>
        <v xml:space="preserve">Исрафилов Умар Айратович                          </v>
      </c>
      <c r="H14" s="31" t="str">
        <f t="shared" si="3"/>
        <v>8а доп март</v>
      </c>
      <c r="I14" s="94" t="s">
        <v>396</v>
      </c>
      <c r="J14" s="31">
        <v>92701000</v>
      </c>
      <c r="M14" s="31">
        <f t="shared" si="1"/>
        <v>2025</v>
      </c>
    </row>
    <row r="15" spans="1:13" x14ac:dyDescent="0.25">
      <c r="A15" s="92" t="s">
        <v>423</v>
      </c>
      <c r="B15" s="92" t="s">
        <v>424</v>
      </c>
      <c r="C15" s="92" t="s">
        <v>400</v>
      </c>
      <c r="D15" s="92" t="s">
        <v>488</v>
      </c>
      <c r="E15" s="93">
        <v>8100</v>
      </c>
      <c r="F15" s="98" t="str">
        <f t="shared" si="2"/>
        <v>00274</v>
      </c>
      <c r="G15" s="31" t="str">
        <f t="shared" si="0"/>
        <v xml:space="preserve">Минаков Михаил Александрович                      </v>
      </c>
      <c r="H15" s="31" t="str">
        <f t="shared" si="3"/>
        <v>8а доп март</v>
      </c>
      <c r="I15" s="94" t="s">
        <v>396</v>
      </c>
      <c r="J15" s="31">
        <v>92701000</v>
      </c>
      <c r="M15" s="31">
        <f t="shared" si="1"/>
        <v>8100</v>
      </c>
    </row>
    <row r="16" spans="1:13" x14ac:dyDescent="0.25">
      <c r="A16" s="92" t="s">
        <v>425</v>
      </c>
      <c r="B16" s="92" t="s">
        <v>426</v>
      </c>
      <c r="C16" s="92" t="s">
        <v>400</v>
      </c>
      <c r="D16" s="92" t="s">
        <v>488</v>
      </c>
      <c r="E16" s="93">
        <v>4050</v>
      </c>
      <c r="F16" s="98" t="str">
        <f t="shared" si="2"/>
        <v>00275</v>
      </c>
      <c r="G16" s="31" t="str">
        <f t="shared" si="0"/>
        <v xml:space="preserve">Надиров Закир Адилевич                            </v>
      </c>
      <c r="H16" s="31" t="str">
        <f t="shared" si="3"/>
        <v>8а доп март</v>
      </c>
      <c r="I16" s="94" t="s">
        <v>396</v>
      </c>
      <c r="J16" s="31">
        <v>92701000</v>
      </c>
      <c r="M16" s="31">
        <f t="shared" si="1"/>
        <v>4050</v>
      </c>
    </row>
    <row r="17" spans="1:13" x14ac:dyDescent="0.25">
      <c r="A17" s="92" t="s">
        <v>427</v>
      </c>
      <c r="B17" s="92" t="s">
        <v>428</v>
      </c>
      <c r="C17" s="92" t="s">
        <v>400</v>
      </c>
      <c r="D17" s="92" t="s">
        <v>488</v>
      </c>
      <c r="E17" s="93">
        <v>2025</v>
      </c>
      <c r="F17" s="98" t="str">
        <f t="shared" si="2"/>
        <v>00469</v>
      </c>
      <c r="G17" s="31" t="str">
        <f t="shared" si="0"/>
        <v xml:space="preserve">Назмиев Рамзиль Зуфарович                         </v>
      </c>
      <c r="H17" s="31" t="str">
        <f t="shared" si="3"/>
        <v>8а доп март</v>
      </c>
      <c r="I17" s="94" t="s">
        <v>396</v>
      </c>
      <c r="J17" s="31">
        <v>92701000</v>
      </c>
      <c r="M17" s="31">
        <f t="shared" si="1"/>
        <v>2025</v>
      </c>
    </row>
    <row r="18" spans="1:13" x14ac:dyDescent="0.25">
      <c r="A18" s="92" t="s">
        <v>429</v>
      </c>
      <c r="B18" s="92" t="s">
        <v>430</v>
      </c>
      <c r="C18" s="92" t="s">
        <v>400</v>
      </c>
      <c r="D18" s="92" t="s">
        <v>488</v>
      </c>
      <c r="E18" s="93">
        <v>16200</v>
      </c>
      <c r="F18" s="98" t="str">
        <f t="shared" si="2"/>
        <v>00277</v>
      </c>
      <c r="G18" s="31" t="str">
        <f t="shared" si="0"/>
        <v xml:space="preserve">Низамов Гусман Альфисович                         </v>
      </c>
      <c r="H18" s="31" t="str">
        <f t="shared" si="3"/>
        <v>8а доп март</v>
      </c>
      <c r="I18" s="94" t="s">
        <v>396</v>
      </c>
      <c r="J18" s="31">
        <v>92701000</v>
      </c>
      <c r="M18" s="31">
        <f t="shared" si="1"/>
        <v>16200</v>
      </c>
    </row>
    <row r="19" spans="1:13" x14ac:dyDescent="0.25">
      <c r="A19" s="92" t="s">
        <v>431</v>
      </c>
      <c r="B19" s="92" t="s">
        <v>432</v>
      </c>
      <c r="C19" s="92" t="s">
        <v>400</v>
      </c>
      <c r="D19" s="92" t="s">
        <v>488</v>
      </c>
      <c r="E19" s="93">
        <v>8100</v>
      </c>
      <c r="F19" s="98" t="str">
        <f t="shared" si="2"/>
        <v>00279</v>
      </c>
      <c r="G19" s="31" t="str">
        <f t="shared" si="0"/>
        <v xml:space="preserve">Сайфутдинов Искандер Ильнурович                   </v>
      </c>
      <c r="H19" s="31" t="str">
        <f t="shared" si="3"/>
        <v>8а доп март</v>
      </c>
      <c r="I19" s="94" t="s">
        <v>396</v>
      </c>
      <c r="J19" s="31">
        <v>92701000</v>
      </c>
      <c r="M19" s="31">
        <f t="shared" si="1"/>
        <v>8100</v>
      </c>
    </row>
    <row r="20" spans="1:13" x14ac:dyDescent="0.25">
      <c r="A20" s="92" t="s">
        <v>433</v>
      </c>
      <c r="B20" s="92" t="s">
        <v>434</v>
      </c>
      <c r="C20" s="92" t="s">
        <v>400</v>
      </c>
      <c r="D20" s="92" t="s">
        <v>488</v>
      </c>
      <c r="E20" s="93">
        <v>4050</v>
      </c>
      <c r="F20" s="98" t="str">
        <f t="shared" si="2"/>
        <v>00280</v>
      </c>
      <c r="G20" s="31" t="str">
        <f t="shared" si="0"/>
        <v xml:space="preserve">Сахапов Ринат Гайнутдинович                       </v>
      </c>
      <c r="H20" s="31" t="str">
        <f t="shared" si="3"/>
        <v>8а доп март</v>
      </c>
      <c r="I20" s="94" t="s">
        <v>396</v>
      </c>
      <c r="J20" s="31">
        <v>92701000</v>
      </c>
      <c r="M20" s="31">
        <f t="shared" si="1"/>
        <v>4050</v>
      </c>
    </row>
    <row r="21" spans="1:13" x14ac:dyDescent="0.25">
      <c r="A21" s="92" t="s">
        <v>435</v>
      </c>
      <c r="B21" s="92" t="s">
        <v>436</v>
      </c>
      <c r="C21" s="92" t="s">
        <v>400</v>
      </c>
      <c r="D21" s="92" t="s">
        <v>488</v>
      </c>
      <c r="E21" s="93">
        <v>4050</v>
      </c>
      <c r="F21" s="98" t="str">
        <f t="shared" si="2"/>
        <v>00281</v>
      </c>
      <c r="G21" s="31" t="str">
        <f t="shared" si="0"/>
        <v xml:space="preserve">Хамматов Карим Ирекович                           </v>
      </c>
      <c r="H21" s="31" t="str">
        <f t="shared" si="3"/>
        <v>8а доп март</v>
      </c>
      <c r="I21" s="94" t="s">
        <v>396</v>
      </c>
      <c r="J21" s="31">
        <v>92701000</v>
      </c>
      <c r="M21" s="31">
        <f t="shared" si="1"/>
        <v>4050</v>
      </c>
    </row>
    <row r="22" spans="1:13" x14ac:dyDescent="0.25">
      <c r="A22" s="92" t="s">
        <v>437</v>
      </c>
      <c r="B22" s="92" t="s">
        <v>438</v>
      </c>
      <c r="C22" s="92" t="s">
        <v>400</v>
      </c>
      <c r="D22" s="92" t="s">
        <v>488</v>
      </c>
      <c r="E22" s="93">
        <v>8100</v>
      </c>
      <c r="F22" s="98" t="str">
        <f t="shared" si="2"/>
        <v>00283</v>
      </c>
      <c r="G22" s="31" t="str">
        <f t="shared" si="0"/>
        <v xml:space="preserve">Шайхутдинов Амир Эдуардович                       </v>
      </c>
      <c r="H22" s="31" t="str">
        <f t="shared" si="3"/>
        <v>8а доп март</v>
      </c>
      <c r="I22" s="94" t="s">
        <v>396</v>
      </c>
      <c r="J22" s="31">
        <v>92701000</v>
      </c>
      <c r="M22" s="31">
        <f t="shared" si="1"/>
        <v>8100</v>
      </c>
    </row>
    <row r="23" spans="1:13" x14ac:dyDescent="0.25">
      <c r="A23" s="92" t="s">
        <v>439</v>
      </c>
      <c r="B23" s="92" t="s">
        <v>440</v>
      </c>
      <c r="C23" s="92" t="s">
        <v>400</v>
      </c>
      <c r="D23" s="92" t="s">
        <v>488</v>
      </c>
      <c r="E23" s="93">
        <v>4050</v>
      </c>
      <c r="F23" s="98" t="str">
        <f t="shared" si="2"/>
        <v>000712</v>
      </c>
      <c r="G23" s="31" t="str">
        <f t="shared" si="0"/>
        <v xml:space="preserve">Шакиров Раиль Идрисович                           </v>
      </c>
      <c r="H23" s="31" t="str">
        <f t="shared" si="3"/>
        <v>8а доп март</v>
      </c>
      <c r="I23" s="94" t="s">
        <v>396</v>
      </c>
      <c r="J23" s="31">
        <v>92701000</v>
      </c>
      <c r="M23" s="31">
        <f t="shared" si="1"/>
        <v>4050</v>
      </c>
    </row>
    <row r="24" spans="1:13" x14ac:dyDescent="0.25">
      <c r="A24" s="92" t="s">
        <v>437</v>
      </c>
      <c r="B24" s="92" t="s">
        <v>438</v>
      </c>
      <c r="C24" s="92" t="s">
        <v>400</v>
      </c>
      <c r="D24" s="92" t="s">
        <v>464</v>
      </c>
      <c r="E24" s="93">
        <v>4050</v>
      </c>
      <c r="F24" s="98" t="str">
        <f t="shared" si="2"/>
        <v>00283</v>
      </c>
      <c r="G24" s="31" t="str">
        <f t="shared" si="0"/>
        <v xml:space="preserve">Шайхутдинов Амир Эдуардович                       </v>
      </c>
      <c r="H24" s="31" t="str">
        <f t="shared" si="3"/>
        <v>8а доп январь</v>
      </c>
      <c r="I24" s="94" t="s">
        <v>396</v>
      </c>
      <c r="J24" s="31">
        <v>92701000</v>
      </c>
      <c r="M24" s="31">
        <f t="shared" si="1"/>
        <v>4050</v>
      </c>
    </row>
    <row r="25" spans="1:13" x14ac:dyDescent="0.25">
      <c r="A25" s="92" t="s">
        <v>439</v>
      </c>
      <c r="B25" s="92" t="s">
        <v>440</v>
      </c>
      <c r="C25" s="92" t="s">
        <v>400</v>
      </c>
      <c r="D25" s="92" t="s">
        <v>464</v>
      </c>
      <c r="E25" s="93">
        <v>4050</v>
      </c>
      <c r="F25" s="98" t="str">
        <f t="shared" si="2"/>
        <v>000712</v>
      </c>
      <c r="G25" s="31" t="str">
        <f t="shared" si="0"/>
        <v xml:space="preserve">Шакиров Раиль Идрисович                           </v>
      </c>
      <c r="H25" s="31" t="str">
        <f t="shared" si="3"/>
        <v>8а доп январь</v>
      </c>
      <c r="I25" s="94" t="s">
        <v>396</v>
      </c>
      <c r="J25" s="31">
        <v>92701000</v>
      </c>
      <c r="M25" s="31">
        <f t="shared" si="1"/>
        <v>4050</v>
      </c>
    </row>
    <row r="26" spans="1:13" x14ac:dyDescent="0.25">
      <c r="A26" s="92" t="s">
        <v>439</v>
      </c>
      <c r="B26" s="92" t="s">
        <v>440</v>
      </c>
      <c r="C26" s="92" t="s">
        <v>400</v>
      </c>
      <c r="D26" s="92" t="s">
        <v>397</v>
      </c>
      <c r="E26" s="93">
        <v>4050</v>
      </c>
      <c r="F26" s="98" t="str">
        <f t="shared" si="2"/>
        <v>000712</v>
      </c>
      <c r="G26" s="31" t="str">
        <f t="shared" si="0"/>
        <v xml:space="preserve">Шакиров Раиль Идрисович                           </v>
      </c>
      <c r="H26" s="31" t="str">
        <f t="shared" si="3"/>
        <v>8а доп ноябрь</v>
      </c>
      <c r="I26" s="94" t="s">
        <v>396</v>
      </c>
      <c r="J26" s="31">
        <v>92701000</v>
      </c>
      <c r="M26" s="31">
        <f t="shared" si="1"/>
        <v>4050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8"/>
  <sheetViews>
    <sheetView tabSelected="1" workbookViewId="0">
      <pane ySplit="6" topLeftCell="A7" activePane="bottomLeft" state="frozen"/>
      <selection activeCell="A2" sqref="A2"/>
      <selection pane="bottomLeft" activeCell="A7" sqref="A7:H28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123525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22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441</v>
      </c>
      <c r="B7" s="84" t="s">
        <v>399</v>
      </c>
      <c r="C7" s="84" t="s">
        <v>491</v>
      </c>
      <c r="D7" s="84" t="s">
        <v>396</v>
      </c>
      <c r="E7" s="87">
        <v>92701000</v>
      </c>
      <c r="F7" s="84"/>
      <c r="G7" s="84"/>
      <c r="H7" s="86">
        <v>2025</v>
      </c>
    </row>
    <row r="8" spans="1:8" x14ac:dyDescent="0.25">
      <c r="A8" s="95" t="s">
        <v>442</v>
      </c>
      <c r="B8" s="95" t="s">
        <v>402</v>
      </c>
      <c r="C8" s="95" t="s">
        <v>491</v>
      </c>
      <c r="D8" s="95" t="s">
        <v>396</v>
      </c>
      <c r="E8" s="95">
        <v>92701000</v>
      </c>
      <c r="F8" s="95"/>
      <c r="G8" s="95"/>
      <c r="H8" s="96">
        <v>4050</v>
      </c>
    </row>
    <row r="9" spans="1:8" x14ac:dyDescent="0.25">
      <c r="A9" s="95" t="s">
        <v>443</v>
      </c>
      <c r="B9" s="95" t="s">
        <v>404</v>
      </c>
      <c r="C9" s="95" t="s">
        <v>491</v>
      </c>
      <c r="D9" s="95" t="s">
        <v>396</v>
      </c>
      <c r="E9" s="95">
        <v>92701000</v>
      </c>
      <c r="F9" s="95"/>
      <c r="G9" s="95"/>
      <c r="H9" s="96">
        <v>4050</v>
      </c>
    </row>
    <row r="10" spans="1:8" s="59" customFormat="1" x14ac:dyDescent="0.25">
      <c r="A10" s="95" t="s">
        <v>444</v>
      </c>
      <c r="B10" s="95" t="s">
        <v>406</v>
      </c>
      <c r="C10" s="95" t="s">
        <v>491</v>
      </c>
      <c r="D10" s="95" t="s">
        <v>396</v>
      </c>
      <c r="E10" s="95">
        <v>92701000</v>
      </c>
      <c r="F10" s="95"/>
      <c r="G10" s="95"/>
      <c r="H10" s="96">
        <v>4050</v>
      </c>
    </row>
    <row r="11" spans="1:8" x14ac:dyDescent="0.25">
      <c r="A11" s="95" t="s">
        <v>445</v>
      </c>
      <c r="B11" s="95" t="s">
        <v>408</v>
      </c>
      <c r="C11" s="95" t="s">
        <v>491</v>
      </c>
      <c r="D11" s="95" t="s">
        <v>396</v>
      </c>
      <c r="E11" s="95">
        <v>92701000</v>
      </c>
      <c r="F11" s="95"/>
      <c r="G11" s="95"/>
      <c r="H11" s="96">
        <v>4050</v>
      </c>
    </row>
    <row r="12" spans="1:8" x14ac:dyDescent="0.25">
      <c r="A12" s="95" t="s">
        <v>446</v>
      </c>
      <c r="B12" s="95" t="s">
        <v>410</v>
      </c>
      <c r="C12" s="95" t="s">
        <v>491</v>
      </c>
      <c r="D12" s="95" t="s">
        <v>396</v>
      </c>
      <c r="E12" s="95">
        <v>92701000</v>
      </c>
      <c r="F12" s="95"/>
      <c r="G12" s="95"/>
      <c r="H12" s="96">
        <v>8100</v>
      </c>
    </row>
    <row r="13" spans="1:8" x14ac:dyDescent="0.25">
      <c r="A13" s="95" t="s">
        <v>447</v>
      </c>
      <c r="B13" s="95" t="s">
        <v>412</v>
      </c>
      <c r="C13" s="95" t="s">
        <v>491</v>
      </c>
      <c r="D13" s="95" t="s">
        <v>396</v>
      </c>
      <c r="E13" s="95">
        <v>92701000</v>
      </c>
      <c r="F13" s="95"/>
      <c r="G13" s="95"/>
      <c r="H13" s="96">
        <v>4050</v>
      </c>
    </row>
    <row r="14" spans="1:8" x14ac:dyDescent="0.25">
      <c r="A14" s="95" t="s">
        <v>448</v>
      </c>
      <c r="B14" s="95" t="s">
        <v>414</v>
      </c>
      <c r="C14" s="95" t="s">
        <v>491</v>
      </c>
      <c r="D14" s="95" t="s">
        <v>396</v>
      </c>
      <c r="E14" s="95">
        <v>92701000</v>
      </c>
      <c r="F14" s="95"/>
      <c r="G14" s="95"/>
      <c r="H14" s="96">
        <v>4050</v>
      </c>
    </row>
    <row r="15" spans="1:8" x14ac:dyDescent="0.25">
      <c r="A15" s="95" t="s">
        <v>449</v>
      </c>
      <c r="B15" s="95" t="s">
        <v>416</v>
      </c>
      <c r="C15" s="95" t="s">
        <v>491</v>
      </c>
      <c r="D15" s="95" t="s">
        <v>396</v>
      </c>
      <c r="E15" s="95">
        <v>92701000</v>
      </c>
      <c r="F15" s="95"/>
      <c r="G15" s="95"/>
      <c r="H15" s="96">
        <v>12150</v>
      </c>
    </row>
    <row r="16" spans="1:8" x14ac:dyDescent="0.25">
      <c r="A16" s="95" t="s">
        <v>450</v>
      </c>
      <c r="B16" s="95" t="s">
        <v>418</v>
      </c>
      <c r="C16" s="95" t="s">
        <v>491</v>
      </c>
      <c r="D16" s="95" t="s">
        <v>396</v>
      </c>
      <c r="E16" s="95">
        <v>92701000</v>
      </c>
      <c r="F16" s="95"/>
      <c r="G16" s="95"/>
      <c r="H16" s="96">
        <v>4050</v>
      </c>
    </row>
    <row r="17" spans="1:8" x14ac:dyDescent="0.25">
      <c r="A17" s="95" t="s">
        <v>492</v>
      </c>
      <c r="B17" s="95" t="s">
        <v>490</v>
      </c>
      <c r="C17" s="95" t="s">
        <v>491</v>
      </c>
      <c r="D17" s="95" t="s">
        <v>396</v>
      </c>
      <c r="E17" s="95">
        <v>92701000</v>
      </c>
      <c r="F17" s="95"/>
      <c r="G17" s="95"/>
      <c r="H17" s="96">
        <v>4050</v>
      </c>
    </row>
    <row r="18" spans="1:8" x14ac:dyDescent="0.25">
      <c r="A18" s="95" t="s">
        <v>419</v>
      </c>
      <c r="B18" s="95" t="s">
        <v>420</v>
      </c>
      <c r="C18" s="95" t="s">
        <v>491</v>
      </c>
      <c r="D18" s="95" t="s">
        <v>396</v>
      </c>
      <c r="E18" s="95">
        <v>92701000</v>
      </c>
      <c r="F18" s="95"/>
      <c r="G18" s="95"/>
      <c r="H18" s="96">
        <v>8100</v>
      </c>
    </row>
    <row r="19" spans="1:8" x14ac:dyDescent="0.25">
      <c r="A19" s="95" t="s">
        <v>451</v>
      </c>
      <c r="B19" s="95" t="s">
        <v>422</v>
      </c>
      <c r="C19" s="95" t="s">
        <v>491</v>
      </c>
      <c r="D19" s="95" t="s">
        <v>396</v>
      </c>
      <c r="E19" s="95">
        <v>92701000</v>
      </c>
      <c r="F19" s="95"/>
      <c r="G19" s="95"/>
      <c r="H19" s="96">
        <v>2025</v>
      </c>
    </row>
    <row r="20" spans="1:8" x14ac:dyDescent="0.25">
      <c r="A20" s="95" t="s">
        <v>452</v>
      </c>
      <c r="B20" s="95" t="s">
        <v>424</v>
      </c>
      <c r="C20" s="95" t="s">
        <v>491</v>
      </c>
      <c r="D20" s="95" t="s">
        <v>396</v>
      </c>
      <c r="E20" s="95">
        <v>92701000</v>
      </c>
      <c r="F20" s="95"/>
      <c r="G20" s="95"/>
      <c r="H20" s="96">
        <v>8100</v>
      </c>
    </row>
    <row r="21" spans="1:8" x14ac:dyDescent="0.25">
      <c r="A21" s="95" t="s">
        <v>453</v>
      </c>
      <c r="B21" s="95" t="s">
        <v>426</v>
      </c>
      <c r="C21" s="95" t="s">
        <v>491</v>
      </c>
      <c r="D21" s="95" t="s">
        <v>396</v>
      </c>
      <c r="E21" s="95">
        <v>92701000</v>
      </c>
      <c r="F21" s="95"/>
      <c r="G21" s="95"/>
      <c r="H21" s="96">
        <v>4050</v>
      </c>
    </row>
    <row r="22" spans="1:8" x14ac:dyDescent="0.25">
      <c r="A22" s="95" t="s">
        <v>454</v>
      </c>
      <c r="B22" s="95" t="s">
        <v>428</v>
      </c>
      <c r="C22" s="95" t="s">
        <v>491</v>
      </c>
      <c r="D22" s="95" t="s">
        <v>396</v>
      </c>
      <c r="E22" s="95">
        <v>92701000</v>
      </c>
      <c r="F22" s="95"/>
      <c r="G22" s="95"/>
      <c r="H22" s="96">
        <v>2025</v>
      </c>
    </row>
    <row r="23" spans="1:8" x14ac:dyDescent="0.25">
      <c r="A23" s="95" t="s">
        <v>455</v>
      </c>
      <c r="B23" s="95" t="s">
        <v>430</v>
      </c>
      <c r="C23" s="95" t="s">
        <v>491</v>
      </c>
      <c r="D23" s="95" t="s">
        <v>396</v>
      </c>
      <c r="E23" s="95">
        <v>92701000</v>
      </c>
      <c r="F23" s="95"/>
      <c r="G23" s="95"/>
      <c r="H23" s="96">
        <v>16200</v>
      </c>
    </row>
    <row r="24" spans="1:8" x14ac:dyDescent="0.25">
      <c r="A24" s="95" t="s">
        <v>456</v>
      </c>
      <c r="B24" s="95" t="s">
        <v>432</v>
      </c>
      <c r="C24" s="95" t="s">
        <v>491</v>
      </c>
      <c r="D24" s="95" t="s">
        <v>396</v>
      </c>
      <c r="E24" s="95">
        <v>92701000</v>
      </c>
      <c r="F24" s="95"/>
      <c r="G24" s="95"/>
      <c r="H24" s="96">
        <v>8100</v>
      </c>
    </row>
    <row r="25" spans="1:8" x14ac:dyDescent="0.25">
      <c r="A25" s="95" t="s">
        <v>457</v>
      </c>
      <c r="B25" s="95" t="s">
        <v>434</v>
      </c>
      <c r="C25" s="95" t="s">
        <v>491</v>
      </c>
      <c r="D25" s="95" t="s">
        <v>396</v>
      </c>
      <c r="E25" s="95">
        <v>92701000</v>
      </c>
      <c r="F25" s="95"/>
      <c r="G25" s="95"/>
      <c r="H25" s="96">
        <v>4050</v>
      </c>
    </row>
    <row r="26" spans="1:8" x14ac:dyDescent="0.25">
      <c r="A26" s="95" t="s">
        <v>458</v>
      </c>
      <c r="B26" s="95" t="s">
        <v>436</v>
      </c>
      <c r="C26" s="95" t="s">
        <v>491</v>
      </c>
      <c r="D26" s="95" t="s">
        <v>396</v>
      </c>
      <c r="E26" s="95">
        <v>92701000</v>
      </c>
      <c r="F26" s="95"/>
      <c r="G26" s="95"/>
      <c r="H26" s="96">
        <v>4050</v>
      </c>
    </row>
    <row r="27" spans="1:8" x14ac:dyDescent="0.25">
      <c r="A27" s="95" t="s">
        <v>459</v>
      </c>
      <c r="B27" s="95" t="s">
        <v>438</v>
      </c>
      <c r="C27" s="95" t="s">
        <v>491</v>
      </c>
      <c r="D27" s="95" t="s">
        <v>396</v>
      </c>
      <c r="E27" s="95">
        <v>92701000</v>
      </c>
      <c r="F27" s="95"/>
      <c r="G27" s="95"/>
      <c r="H27" s="96">
        <v>8100</v>
      </c>
    </row>
    <row r="28" spans="1:8" x14ac:dyDescent="0.25">
      <c r="A28" s="95" t="s">
        <v>439</v>
      </c>
      <c r="B28" s="95" t="s">
        <v>440</v>
      </c>
      <c r="C28" s="95" t="s">
        <v>491</v>
      </c>
      <c r="D28" s="95" t="s">
        <v>396</v>
      </c>
      <c r="E28" s="95">
        <v>92701000</v>
      </c>
      <c r="F28" s="95"/>
      <c r="G28" s="95"/>
      <c r="H28" s="96">
        <v>4050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8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8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8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8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461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461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461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461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468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469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468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469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461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461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471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461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471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461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461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461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461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461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461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461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475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463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475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463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476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460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476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460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477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461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477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461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478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460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478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460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479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461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479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461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481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460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481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460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482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462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482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462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483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461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483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461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484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484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485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461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485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461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486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461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486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461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487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461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487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461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</sheetData>
  <mergeCells count="22"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2023-02-21T14:20:55Z</cp:lastPrinted>
  <dcterms:created xsi:type="dcterms:W3CDTF">2012-02-27T08:19:11Z</dcterms:created>
  <dcterms:modified xsi:type="dcterms:W3CDTF">2023-03-22T10:46:47Z</dcterms:modified>
</cp:coreProperties>
</file>