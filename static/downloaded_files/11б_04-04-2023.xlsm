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1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47" i="281" l="1"/>
  <c r="C438" i="281"/>
  <c r="C451" i="281" s="1"/>
  <c r="C436" i="281"/>
  <c r="C449" i="281" s="1"/>
  <c r="C434" i="281"/>
  <c r="C424" i="281"/>
  <c r="C422" i="281"/>
  <c r="C411" i="281"/>
  <c r="C409" i="281"/>
  <c r="C407" i="281"/>
  <c r="C420" i="281" s="1"/>
  <c r="C393" i="281"/>
  <c r="C384" i="281"/>
  <c r="C397" i="281" s="1"/>
  <c r="C382" i="281"/>
  <c r="C395" i="281" s="1"/>
  <c r="C380" i="281"/>
  <c r="C370" i="281"/>
  <c r="C368" i="281"/>
  <c r="C357" i="281"/>
  <c r="C355" i="281"/>
  <c r="C353" i="281"/>
  <c r="C366" i="281" s="1"/>
  <c r="C339" i="281"/>
  <c r="C330" i="281"/>
  <c r="C343" i="281" s="1"/>
  <c r="C328" i="281"/>
  <c r="C341" i="281" s="1"/>
  <c r="C326" i="281"/>
  <c r="C316" i="281"/>
  <c r="C314" i="281"/>
  <c r="C303" i="281"/>
  <c r="C301" i="281"/>
  <c r="C299" i="281"/>
  <c r="C312" i="281" s="1"/>
  <c r="C285" i="281"/>
  <c r="C276" i="281"/>
  <c r="C289" i="281" s="1"/>
  <c r="C274" i="281"/>
  <c r="C287" i="281" s="1"/>
  <c r="C272" i="281"/>
  <c r="C262" i="281"/>
  <c r="C260" i="281"/>
  <c r="C249" i="281"/>
  <c r="C247" i="281"/>
  <c r="C245" i="281"/>
  <c r="C258" i="281" s="1"/>
  <c r="C231" i="281"/>
  <c r="C222" i="281"/>
  <c r="C235" i="281" s="1"/>
  <c r="C220" i="281"/>
  <c r="C233" i="281" s="1"/>
  <c r="C218" i="281"/>
  <c r="C208" i="281"/>
  <c r="C206" i="281"/>
  <c r="C195" i="281"/>
  <c r="C193" i="281"/>
  <c r="C191" i="281"/>
  <c r="C204" i="281" s="1"/>
  <c r="C177" i="281"/>
  <c r="C168" i="281"/>
  <c r="C181" i="281" s="1"/>
  <c r="C166" i="281"/>
  <c r="C179" i="281" s="1"/>
  <c r="C164" i="281"/>
  <c r="C154" i="281"/>
  <c r="C152" i="281"/>
  <c r="C141" i="281"/>
  <c r="C139" i="281"/>
  <c r="C137" i="281"/>
  <c r="C150" i="281" s="1"/>
  <c r="C123" i="281"/>
  <c r="C114" i="281"/>
  <c r="C127" i="281" s="1"/>
  <c r="C112" i="281"/>
  <c r="C125" i="281" s="1"/>
  <c r="C110" i="281"/>
  <c r="C100" i="281"/>
  <c r="C98" i="281"/>
  <c r="C87" i="281"/>
  <c r="C85" i="281"/>
  <c r="C83" i="281"/>
  <c r="C96" i="281" s="1"/>
  <c r="C69" i="281"/>
  <c r="C60" i="281"/>
  <c r="C73" i="281" s="1"/>
  <c r="C58" i="281"/>
  <c r="C71" i="281" s="1"/>
  <c r="C56" i="281"/>
  <c r="C46" i="281"/>
  <c r="C44" i="281"/>
  <c r="C33" i="281"/>
  <c r="C31" i="281"/>
  <c r="C29" i="281"/>
  <c r="C42" i="281" s="1"/>
  <c r="C15" i="281"/>
  <c r="C6" i="281"/>
  <c r="C19" i="281" s="1"/>
  <c r="C4" i="281"/>
  <c r="C17" i="281" s="1"/>
  <c r="C2" i="28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<sst xmlns="http://schemas.openxmlformats.org/spreadsheetml/2006/main" count="2390" uniqueCount="493">
  <si>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</si>
  <si>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</si>
  <si>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</si>
  <si>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</si>
  <si>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</si>
  <si>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</si>
  <si>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</si>
  <si>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</si>
  <si>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</si>
  <si>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</si>
  <si>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</si>
  <si>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</si>
  <si>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</si>
  <si>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</si>
  <si>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</si>
  <si>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</si>
  <si>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</si>
  <si>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</si>
  <si>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</si>
  <si>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</si>
  <si>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</si>
  <si>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</si>
  <si>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</si>
  <si>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</si>
  <si>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</si>
  <si>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</si>
  <si>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</si>
  <si>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</si>
  <si>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</si>
  <si>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</si>
  <si>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</si>
  <si>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</si>
  <si>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</si>
  <si>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</si>
  <si>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</si>
  <si>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</si>
  <si>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</si>
  <si>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</si>
  <si>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</si>
  <si>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</si>
  <si>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</si>
  <si>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</si>
  <si>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</si>
  <si>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</si>
  <si>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</si>
  <si>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</si>
  <si>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</si>
  <si>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</si>
  <si>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</si>
  <si>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</si>
  <si>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</si>
  <si>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</si>
  <si>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</si>
  <si>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</si>
  <si>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</si>
  <si>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</si>
  <si>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</si>
  <si>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</si>
  <si>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</si>
  <si>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</si>
  <si>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</si>
  <si>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</si>
  <si>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</si>
  <si>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</si>
  <si>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</si>
  <si>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</si>
  <si>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</si>
  <si>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</si>
  <si>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</si>
  <si>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</si>
  <si>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</si>
  <si>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</si>
  <si>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</si>
  <si>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</si>
  <si>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</si>
  <si>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</si>
  <si>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</si>
  <si>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</si>
  <si>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</si>
  <si>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</si>
  <si>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</si>
  <si>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</si>
  <si>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</si>
  <si>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</si>
  <si>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</si>
  <si>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</si>
  <si>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</si>
  <si>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</si>
  <si>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</si>
  <si>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</si>
  <si>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</si>
  <si>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</si>
  <si>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</si>
  <si>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</si>
  <si>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</si>
  <si>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</si>
  <si>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</si>
  <si>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</si>
  <si>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</si>
  <si>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</si>
  <si>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</si>
  <si>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</si>
  <si>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</si>
  <si>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</si>
  <si>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</si>
  <si>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</si>
  <si>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</si>
  <si>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</si>
  <si>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</si>
  <si>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</si>
  <si>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</si>
  <si>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</si>
  <si>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</si>
  <si>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</si>
  <si>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</si>
  <si>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</si>
  <si>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</si>
  <si>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</si>
  <si>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</si>
  <si>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</si>
  <si>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</si>
  <si>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</si>
  <si>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</si>
  <si>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</si>
  <si>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</si>
  <si>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</si>
  <si>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</si>
  <si>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</si>
  <si>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</si>
  <si>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</si>
  <si>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</si>
  <si>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</si>
  <si>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</si>
  <si>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</si>
  <si>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</si>
  <si>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</si>
  <si>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</si>
  <si>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</si>
  <si>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</si>
  <si>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</si>
  <si>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</si>
  <si>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</si>
  <si>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</si>
  <si>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</si>
  <si>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</si>
  <si>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</si>
  <si>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</si>
  <si>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</si>
  <si>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</si>
  <si>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</si>
  <si>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</si>
  <si>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</si>
  <si>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</si>
  <si>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</si>
  <si>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</si>
  <si>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</si>
  <si>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</si>
  <si>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</si>
  <si>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</si>
  <si>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</si>
  <si>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</si>
  <si>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</si>
  <si>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</si>
  <si>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</si>
  <si>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</si>
  <si>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</si>
  <si>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</si>
  <si>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</si>
  <si>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</si>
  <si>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</si>
  <si>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</si>
  <si>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</si>
  <si>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</si>
  <si>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</si>
  <si>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</si>
  <si>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</si>
  <si>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</si>
  <si>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</si>
  <si>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</si>
  <si>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</si>
  <si>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</si>
  <si>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</si>
  <si>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</si>
  <si>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</si>
  <si>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</si>
  <si>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</si>
  <si>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</si>
  <si>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</si>
  <si>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</si>
  <si>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</si>
  <si>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</si>
  <si>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</si>
  <si>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</si>
  <si>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</si>
  <si>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</si>
  <si>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</si>
  <si>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</si>
  <si>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</si>
  <si>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</si>
  <si>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</si>
  <si>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</si>
  <si>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</si>
  <si>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</si>
  <si>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</si>
  <si>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</si>
  <si>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</si>
  <si>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</si>
  <si>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</si>
  <si>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</si>
  <si>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</si>
  <si>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</si>
  <si>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</si>
  <si>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</si>
  <si>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</si>
  <si>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</si>
  <si>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</si>
  <si>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</si>
  <si>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</si>
  <si>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</si>
  <si>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</si>
  <si>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</si>
  <si>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</si>
  <si>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</si>
  <si>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</si>
  <si>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</si>
  <si>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</si>
  <si>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</si>
  <si>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</si>
  <si>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</si>
  <si>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</si>
  <si>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</si>
  <si>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</si>
  <si>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</si>
  <si>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</si>
  <si>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</si>
  <si>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</si>
  <si>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</si>
  <si>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</si>
  <si>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</si>
  <si>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</si>
  <si>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</si>
  <si>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</si>
  <si>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</si>
  <si>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</si>
  <si>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</si>
  <si>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</si>
  <si>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</si>
  <si>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</si>
  <si>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</si>
  <si>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</si>
  <si>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</si>
  <si>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</si>
  <si>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</si>
  <si>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</si>
  <si>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</si>
  <si>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</si>
  <si>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</si>
  <si>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</si>
  <si>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</si>
  <si>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</si>
  <si>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</si>
  <si>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</si>
  <si>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</si>
  <si>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</si>
  <si>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</si>
  <si>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</si>
  <si>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</si>
  <si>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</si>
  <si>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</si>
  <si>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</si>
  <si>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</si>
  <si>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</si>
  <si>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</si>
  <si>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</si>
  <si>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</si>
  <si>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</si>
  <si>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</si>
  <si>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</si>
  <si>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</si>
  <si>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</si>
  <si>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</si>
  <si>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</si>
  <si>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</si>
  <si>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</si>
  <si>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</si>
  <si>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</si>
  <si>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</si>
  <si>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</si>
  <si>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</si>
  <si>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</si>
  <si>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</si>
  <si>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</si>
  <si>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</si>
  <si>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</si>
  <si>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</si>
  <si>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</si>
  <si>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</si>
  <si>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</si>
  <si>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</si>
  <si>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</si>
  <si>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</si>
  <si>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</si>
  <si>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</si>
  <si>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</si>
  <si>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</si>
  <si>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</si>
  <si>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</si>
  <si>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</si>
  <si>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</si>
  <si>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</si>
  <si>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</si>
  <si>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</si>
  <si>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</si>
  <si>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</si>
  <si>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</si>
  <si>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</si>
  <si>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</si>
  <si>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</si>
  <si>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</si>
  <si>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</si>
  <si>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</si>
  <si>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</si>
  <si>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</si>
  <si>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</si>
  <si>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</si>
  <si>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</si>
  <si>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</si>
  <si>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</si>
  <si>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</si>
  <si>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</si>
  <si>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</si>
  <si>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</si>
  <si>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</si>
  <si>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</si>
  <si>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</si>
  <si>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</si>
  <si>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</si>
  <si>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</si>
  <si>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</si>
  <si>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</si>
  <si>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</si>
  <si>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</si>
  <si>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</si>
  <si>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</si>
  <si>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</si>
  <si>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</si>
  <si>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</si>
  <si>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</si>
  <si>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</si>
  <si>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</si>
  <si>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</si>
  <si>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</si>
  <si>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</si>
  <si>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</si>
  <si>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</si>
  <si>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</si>
  <si>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</si>
  <si>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</si>
  <si>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</si>
  <si>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</si>
  <si>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</si>
  <si>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</si>
  <si>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</si>
  <si>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</si>
  <si>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</si>
  <si>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</si>
  <si>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</si>
  <si>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</si>
  <si>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</si>
  <si>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</si>
  <si>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</si>
  <si>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</si>
  <si>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</si>
  <si>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</si>
  <si>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</si>
  <si>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</si>
  <si>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</si>
  <si>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</si>
  <si>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</si>
  <si>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</si>
  <si>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</si>
  <si>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</si>
  <si>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</si>
  <si>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</si>
  <si>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</si>
  <si>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</si>
  <si>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</si>
  <si>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</si>
  <si>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</si>
  <si>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</si>
  <si>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</si>
  <si>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</si>
  <si>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</si>
  <si>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</si>
  <si>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</si>
  <si>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</si>
  <si>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11а род             </t>
  </si>
  <si>
    <t xml:space="preserve">00168 </t>
  </si>
  <si>
    <t xml:space="preserve">Хуснуллин Муса Марсович                           </t>
  </si>
  <si>
    <t xml:space="preserve">00169 </t>
  </si>
  <si>
    <t xml:space="preserve">Шакирзянов Рамиль Ильдарович                      </t>
  </si>
  <si>
    <t xml:space="preserve">00170 </t>
  </si>
  <si>
    <t xml:space="preserve">Шакиров Равиль Расилевич                          </t>
  </si>
  <si>
    <t xml:space="preserve">00132 </t>
  </si>
  <si>
    <t xml:space="preserve">Шакиртянов Булат Радифович                        </t>
  </si>
  <si>
    <t xml:space="preserve">00171 </t>
  </si>
  <si>
    <t xml:space="preserve">Шарафиев Булат Маратович                          </t>
  </si>
  <si>
    <t xml:space="preserve">00151 </t>
  </si>
  <si>
    <t xml:space="preserve">Шарафутдинов Амир Азатович                        </t>
  </si>
  <si>
    <t xml:space="preserve">00134 </t>
  </si>
  <si>
    <t xml:space="preserve">Шарифуллин Карим Вилорикович                      </t>
  </si>
  <si>
    <t>февр</t>
  </si>
  <si>
    <t>Сумма: 2540 руб. 00 коп.</t>
  </si>
  <si>
    <t>Сумма: 2838 руб. 00 коп.</t>
  </si>
  <si>
    <t>Сумма: 9507 руб. 37 коп.</t>
  </si>
  <si>
    <t>Сумма: 7226 руб. 71 коп.</t>
  </si>
  <si>
    <t xml:space="preserve">00116 </t>
  </si>
  <si>
    <t xml:space="preserve">Аджигитов Юсуф Рафаэльевич                        </t>
  </si>
  <si>
    <t xml:space="preserve">11б род             </t>
  </si>
  <si>
    <t xml:space="preserve">00117 </t>
  </si>
  <si>
    <t xml:space="preserve">Аляутдинов Камиль Ильдарович                      </t>
  </si>
  <si>
    <t xml:space="preserve">00154 </t>
  </si>
  <si>
    <t xml:space="preserve">Ахмедзянов Арслан Рузалевич                       </t>
  </si>
  <si>
    <t xml:space="preserve">00119 </t>
  </si>
  <si>
    <t xml:space="preserve">Бешлер Дениз Ахмедович                            </t>
  </si>
  <si>
    <t xml:space="preserve">00156 </t>
  </si>
  <si>
    <t xml:space="preserve">Вахитов Ильяс Галимович                           </t>
  </si>
  <si>
    <t xml:space="preserve">00140 </t>
  </si>
  <si>
    <t xml:space="preserve">Галяутдинов Адель Айдарович                       </t>
  </si>
  <si>
    <t xml:space="preserve">00120 </t>
  </si>
  <si>
    <t xml:space="preserve">Гараев Амир Марселевич                            </t>
  </si>
  <si>
    <t xml:space="preserve">00141 </t>
  </si>
  <si>
    <t xml:space="preserve">00142 </t>
  </si>
  <si>
    <t xml:space="preserve">Гарипов Адель Ленарович                           </t>
  </si>
  <si>
    <t xml:space="preserve">00121 </t>
  </si>
  <si>
    <t xml:space="preserve">Исмагилов Камил Хамитович                         </t>
  </si>
  <si>
    <t xml:space="preserve">00122 </t>
  </si>
  <si>
    <t xml:space="preserve">Исмагилов Мухаммад Айратович                      </t>
  </si>
  <si>
    <t xml:space="preserve">00145 </t>
  </si>
  <si>
    <t xml:space="preserve">Камалиев Карим Фидаилович                         </t>
  </si>
  <si>
    <t xml:space="preserve">00147 </t>
  </si>
  <si>
    <t xml:space="preserve">Нигматуллин Амир Рустемович                       </t>
  </si>
  <si>
    <t xml:space="preserve">00129 </t>
  </si>
  <si>
    <t xml:space="preserve">Сагдиев Миннур Маннафович                         </t>
  </si>
  <si>
    <t xml:space="preserve">00149 </t>
  </si>
  <si>
    <t xml:space="preserve">Тухватуллин Карим Альбертович                     </t>
  </si>
  <si>
    <t xml:space="preserve">00133 </t>
  </si>
  <si>
    <t>00117</t>
  </si>
  <si>
    <t>00154</t>
  </si>
  <si>
    <t>00119</t>
  </si>
  <si>
    <t>00156</t>
  </si>
  <si>
    <t>00140</t>
  </si>
  <si>
    <t>00120</t>
  </si>
  <si>
    <t>00141</t>
  </si>
  <si>
    <t>00142</t>
  </si>
  <si>
    <t>00121</t>
  </si>
  <si>
    <t>00122</t>
  </si>
  <si>
    <t>00145</t>
  </si>
  <si>
    <t>00147</t>
  </si>
  <si>
    <t>00129</t>
  </si>
  <si>
    <t>00149</t>
  </si>
  <si>
    <t>00133</t>
  </si>
  <si>
    <t>ЛС: 00116; ФИО обучающегося: Аджигитов Юсуф Рафаэльевич                        ; Назначение: 11б род февр; КБК: 82100000000000003131; ОКТМО: 92701000</t>
  </si>
  <si>
    <t>ЛС: 00117; ФИО обучающегося: Аляутдинов Камиль Ильдарович                      ; Назначение: 11б род февр; КБК: 82100000000000003131; ОКТМО: 92701000</t>
  </si>
  <si>
    <t>Сумма: 26481 руб. 89 коп.</t>
  </si>
  <si>
    <t>ЛС: 00154; ФИО обучающегося: Ахмедзянов Арслан Рузалевич                       ; Назначение: 11б род февр; КБК: 82100000000000003131; ОКТМО: 92701000</t>
  </si>
  <si>
    <t>ЛС: 00138; ФИО обучающегося: Ахмиров Рамиль Русланович                         ; Назначение: 11б род февр; КБК: 82100000000000003131; ОКТМО: 92701000</t>
  </si>
  <si>
    <t>Сумма: 10395 руб. 87 коп.</t>
  </si>
  <si>
    <t>ЛС: 00119; ФИО обучающегося: Бешлер Дениз Ахмедович                            ; Назначение: 11б род февр; КБК: 82100000000000003131; ОКТМО: 92701000</t>
  </si>
  <si>
    <t>ЛС: 00156; ФИО обучающегося: Вахитов Ильяс Галимович                           ; Назначение: 11б род февр; КБК: 82100000000000003131; ОКТМО: 92701000</t>
  </si>
  <si>
    <t>ЛС: 00140; ФИО обучающегося: Галяутдинов Адель Айдарович                       ; Назначение: 11б род февр; КБК: 82100000000000003131; ОКТМО: 92701000</t>
  </si>
  <si>
    <t>Сумма: 8018 руб. 06 коп.</t>
  </si>
  <si>
    <t>ЛС: 00120; ФИО обучающегося: Гараев Амир Марселевич                            ; Назначение: 11б род февр; КБК: 82100000000000003131; ОКТМО: 92701000</t>
  </si>
  <si>
    <t>ЛС: 00141; ФИО обучающегося: Гараев Камиль Рустемович                          ; Назначение: 11б род февр; КБК: 82100000000000003131; ОКТМО: 92701000</t>
  </si>
  <si>
    <t>ЛС: 00142; ФИО обучающегося: Гарипов Адель Ленарович                           ; Назначение: 11б род февр; КБК: 82100000000000003131; ОКТМО: 92701000</t>
  </si>
  <si>
    <t>ЛС: 00121; ФИО обучающегося: Исмагилов Камил Хамитович                         ; Назначение: 11б род февр; КБК: 82100000000000003131; ОКТМО: 92701000</t>
  </si>
  <si>
    <t>ЛС: 00122; ФИО обучающегося: Исмагилов Мухаммад Айратович                      ; Назначение: 11б род февр; КБК: 82100000000000003131; ОКТМО: 92701000</t>
  </si>
  <si>
    <t>ЛС: 00145; ФИО обучающегося: Камалиев Карим Фидаилович                         ; Назначение: 11б род февр; КБК: 82100000000000003131; ОКТМО: 92701000</t>
  </si>
  <si>
    <t>Сумма: 24164 руб. 99 коп.</t>
  </si>
  <si>
    <t>ЛС: 00147; ФИО обучающегося: Нигматуллин Амир Рустемович                       ; Назначение: 11б род февр; КБК: 82100000000000003131; ОКТМО: 92701000</t>
  </si>
  <si>
    <t>ЛС: 00129; ФИО обучающегося: Сагдиев Миннур Маннафович                         ; Назначение: 11б род февр; КБК: 82100000000000003131; ОКТМО: 92701000</t>
  </si>
  <si>
    <t>ЛС: 00149; ФИО обучающегося: Тухватуллин Карим Альбертович                     ; Назначение: 11б род февр; КБК: 82100000000000003131; ОКТМО: 92701000</t>
  </si>
  <si>
    <t>ЛС: 00133; ФИО обучающегося: Шарафутдинов Ринат Рустемович                     ; Назначение: 11б род февр; КБК: 82100000000000003131; ОКТМО: 92701000</t>
  </si>
  <si>
    <t xml:space="preserve">00164 </t>
  </si>
  <si>
    <t xml:space="preserve">Рахимкулов Сафиулла Валиуллович                   </t>
  </si>
  <si>
    <t>00164</t>
  </si>
  <si>
    <t>апрель</t>
  </si>
  <si>
    <t xml:space="preserve">00138 </t>
  </si>
  <si>
    <t xml:space="preserve">Ахмиров Рамиль Русланович                         </t>
  </si>
  <si>
    <t>11б род апрель</t>
  </si>
  <si>
    <t>00138</t>
  </si>
  <si>
    <t xml:space="preserve">Гараев Камиль Рустамович                          </t>
  </si>
  <si>
    <t xml:space="preserve">Шарафутдинов Ринат Рустамович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</si>
</sst>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3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3" headerRowDxfId="23" dataDxfId="21" totalsRowDxfId="19" headerRowBorderDxfId="22" tableBorderDxfId="20">
  <autoFilter ref="A6:H23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B20" sqref="B20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32.12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101" t="s">
        <v>393</v>
      </c>
      <c r="B1" s="101"/>
      <c r="C1" s="101"/>
      <c r="D1" s="101"/>
      <c r="E1" s="101"/>
      <c r="F1" s="102" t="s">
        <v>394</v>
      </c>
      <c r="G1" s="102"/>
      <c r="H1" s="102"/>
      <c r="I1" s="102"/>
      <c r="J1" s="102"/>
      <c r="K1" s="102"/>
      <c r="L1" s="102"/>
      <c r="M1" s="102"/>
    </row>
    <row r="2" spans="1:13" x14ac:dyDescent="0.25">
      <c r="A2" s="92" t="s">
        <v>416</v>
      </c>
      <c r="B2" s="92" t="s">
        <v>417</v>
      </c>
      <c r="C2" s="92" t="s">
        <v>418</v>
      </c>
      <c r="D2" s="92" t="s">
        <v>486</v>
      </c>
      <c r="E2" s="93">
        <v>4849.07</v>
      </c>
      <c r="F2" s="98" t="str">
        <f>TRIM(A2)</f>
        <v>00116</v>
      </c>
      <c r="G2" s="31" t="str">
        <f t="shared" ref="G2:G46" si="0">B2</f>
        <v xml:space="preserve">Аджигитов Юсуф Рафаэльевич                        </v>
      </c>
      <c r="H2" s="31" t="str">
        <f>CONCATENATE(TRIM(C2)," ",D2)</f>
        <v>11б род апрель</v>
      </c>
      <c r="I2" s="94" t="s">
        <v>387</v>
      </c>
      <c r="J2" s="31">
        <v>92701000</v>
      </c>
      <c r="M2" s="31">
        <f t="shared" ref="M2:M63" si="1">E2</f>
        <v>4849.07</v>
      </c>
    </row>
    <row r="3" spans="1:13" x14ac:dyDescent="0.25">
      <c r="A3" s="92" t="s">
        <v>419</v>
      </c>
      <c r="B3" s="92" t="s">
        <v>420</v>
      </c>
      <c r="C3" s="92" t="s">
        <v>418</v>
      </c>
      <c r="D3" s="92" t="s">
        <v>486</v>
      </c>
      <c r="E3" s="93">
        <v>31812.45</v>
      </c>
      <c r="F3" s="98" t="str">
        <f t="shared" ref="F3:F66" si="2">TRIM(A3)</f>
        <v>00117</v>
      </c>
      <c r="G3" s="31" t="str">
        <f t="shared" si="0"/>
        <v xml:space="preserve">Аляутдинов Камиль Ильдарович                      </v>
      </c>
      <c r="H3" s="31" t="str">
        <f t="shared" ref="H3:H66" si="3">CONCATENATE(TRIM(C3)," ",D3)</f>
        <v>11б род апрель</v>
      </c>
      <c r="I3" s="94" t="s">
        <v>387</v>
      </c>
      <c r="J3" s="31">
        <v>92701000</v>
      </c>
      <c r="M3" s="31">
        <f t="shared" si="1"/>
        <v>31812.45</v>
      </c>
    </row>
    <row r="4" spans="1:13" x14ac:dyDescent="0.25">
      <c r="A4" s="92" t="s">
        <v>421</v>
      </c>
      <c r="B4" s="92" t="s">
        <v>422</v>
      </c>
      <c r="C4" s="92" t="s">
        <v>418</v>
      </c>
      <c r="D4" s="92" t="s">
        <v>486</v>
      </c>
      <c r="E4" s="93">
        <v>8168.56</v>
      </c>
      <c r="F4" s="98" t="str">
        <f t="shared" si="2"/>
        <v>00154</v>
      </c>
      <c r="G4" s="31" t="str">
        <f t="shared" si="0"/>
        <v xml:space="preserve">Ахмедзянов Арслан Рузалевич                       </v>
      </c>
      <c r="H4" s="31" t="str">
        <f t="shared" si="3"/>
        <v>11б род апрель</v>
      </c>
      <c r="I4" s="94" t="s">
        <v>387</v>
      </c>
      <c r="J4" s="31">
        <v>92701000</v>
      </c>
      <c r="M4" s="31">
        <f t="shared" si="1"/>
        <v>8168.56</v>
      </c>
    </row>
    <row r="5" spans="1:13" x14ac:dyDescent="0.25">
      <c r="A5" s="92" t="s">
        <v>487</v>
      </c>
      <c r="B5" s="92" t="s">
        <v>488</v>
      </c>
      <c r="C5" s="92" t="s">
        <v>418</v>
      </c>
      <c r="D5" s="92" t="s">
        <v>486</v>
      </c>
      <c r="E5" s="93">
        <v>2254.2600000000002</v>
      </c>
      <c r="F5" s="98" t="str">
        <f t="shared" si="2"/>
        <v>00138</v>
      </c>
      <c r="G5" s="31" t="str">
        <f t="shared" si="0"/>
        <v xml:space="preserve">Ахмиров Рамиль Русланович                         </v>
      </c>
      <c r="H5" s="31" t="str">
        <f t="shared" si="3"/>
        <v>11б род апрель</v>
      </c>
      <c r="I5" s="94" t="s">
        <v>387</v>
      </c>
      <c r="J5" s="31">
        <v>92701000</v>
      </c>
      <c r="M5" s="31">
        <f t="shared" si="1"/>
        <v>2254.2600000000002</v>
      </c>
    </row>
    <row r="6" spans="1:13" x14ac:dyDescent="0.25">
      <c r="A6" s="92" t="s">
        <v>423</v>
      </c>
      <c r="B6" s="92" t="s">
        <v>424</v>
      </c>
      <c r="C6" s="92" t="s">
        <v>418</v>
      </c>
      <c r="D6" s="92" t="s">
        <v>486</v>
      </c>
      <c r="E6" s="93">
        <v>12075.78</v>
      </c>
      <c r="F6" s="98" t="str">
        <f t="shared" si="2"/>
        <v>00119</v>
      </c>
      <c r="G6" s="31" t="str">
        <f t="shared" si="0"/>
        <v xml:space="preserve">Бешлер Дениз Ахмедович                            </v>
      </c>
      <c r="H6" s="31" t="str">
        <f t="shared" si="3"/>
        <v>11б род апрель</v>
      </c>
      <c r="I6" s="94" t="s">
        <v>387</v>
      </c>
      <c r="J6" s="31">
        <v>92701000</v>
      </c>
      <c r="M6" s="31">
        <f t="shared" si="1"/>
        <v>12075.78</v>
      </c>
    </row>
    <row r="7" spans="1:13" x14ac:dyDescent="0.25">
      <c r="A7" s="92" t="s">
        <v>425</v>
      </c>
      <c r="B7" s="92" t="s">
        <v>426</v>
      </c>
      <c r="C7" s="92" t="s">
        <v>418</v>
      </c>
      <c r="D7" s="92" t="s">
        <v>486</v>
      </c>
      <c r="E7" s="93">
        <v>4849.07</v>
      </c>
      <c r="F7" s="98" t="str">
        <f t="shared" si="2"/>
        <v>00156</v>
      </c>
      <c r="G7" s="31" t="str">
        <f t="shared" si="0"/>
        <v xml:space="preserve">Вахитов Ильяс Галимович                           </v>
      </c>
      <c r="H7" s="31" t="str">
        <f t="shared" si="3"/>
        <v>11б род апрель</v>
      </c>
      <c r="I7" s="94" t="s">
        <v>387</v>
      </c>
      <c r="J7" s="31">
        <v>92701000</v>
      </c>
      <c r="M7" s="31">
        <f t="shared" si="1"/>
        <v>4849.07</v>
      </c>
    </row>
    <row r="8" spans="1:13" x14ac:dyDescent="0.25">
      <c r="A8" s="92" t="s">
        <v>427</v>
      </c>
      <c r="B8" s="92" t="s">
        <v>428</v>
      </c>
      <c r="C8" s="92" t="s">
        <v>418</v>
      </c>
      <c r="D8" s="92" t="s">
        <v>486</v>
      </c>
      <c r="E8" s="93">
        <v>5330.56</v>
      </c>
      <c r="F8" s="98" t="str">
        <f t="shared" si="2"/>
        <v>00140</v>
      </c>
      <c r="G8" s="31" t="str">
        <f t="shared" si="0"/>
        <v xml:space="preserve">Галяутдинов Адель Айдарович                       </v>
      </c>
      <c r="H8" s="31" t="str">
        <f t="shared" si="3"/>
        <v>11б род апрель</v>
      </c>
      <c r="I8" s="94" t="s">
        <v>387</v>
      </c>
      <c r="J8" s="31">
        <v>92701000</v>
      </c>
      <c r="M8" s="31">
        <f t="shared" si="1"/>
        <v>5330.56</v>
      </c>
    </row>
    <row r="9" spans="1:13" x14ac:dyDescent="0.25">
      <c r="A9" s="92" t="s">
        <v>429</v>
      </c>
      <c r="B9" s="92" t="s">
        <v>430</v>
      </c>
      <c r="C9" s="92" t="s">
        <v>418</v>
      </c>
      <c r="D9" s="92" t="s">
        <v>486</v>
      </c>
      <c r="E9" s="93">
        <v>5330.56</v>
      </c>
      <c r="F9" s="98" t="str">
        <f t="shared" si="2"/>
        <v>00120</v>
      </c>
      <c r="G9" s="31" t="str">
        <f t="shared" si="0"/>
        <v xml:space="preserve">Гараев Амир Марселевич                            </v>
      </c>
      <c r="H9" s="31" t="str">
        <f t="shared" si="3"/>
        <v>11б род апрель</v>
      </c>
      <c r="I9" s="94" t="s">
        <v>387</v>
      </c>
      <c r="J9" s="31">
        <v>92701000</v>
      </c>
      <c r="M9" s="31">
        <f t="shared" si="1"/>
        <v>5330.56</v>
      </c>
    </row>
    <row r="10" spans="1:13" x14ac:dyDescent="0.25">
      <c r="A10" s="92" t="s">
        <v>431</v>
      </c>
      <c r="B10" s="92" t="s">
        <v>491</v>
      </c>
      <c r="C10" s="92" t="s">
        <v>418</v>
      </c>
      <c r="D10" s="92" t="s">
        <v>486</v>
      </c>
      <c r="E10" s="93">
        <v>4849.07</v>
      </c>
      <c r="F10" s="98" t="str">
        <f t="shared" si="2"/>
        <v>00141</v>
      </c>
      <c r="G10" s="31" t="str">
        <f t="shared" si="0"/>
        <v xml:space="preserve">Гараев Камиль Рустамович                          </v>
      </c>
      <c r="H10" s="31" t="str">
        <f t="shared" si="3"/>
        <v>11б род апрель</v>
      </c>
      <c r="I10" s="94" t="s">
        <v>387</v>
      </c>
      <c r="J10" s="31">
        <v>92701000</v>
      </c>
      <c r="M10" s="31">
        <f t="shared" si="1"/>
        <v>4849.07</v>
      </c>
    </row>
    <row r="11" spans="1:13" x14ac:dyDescent="0.25">
      <c r="A11" s="92" t="s">
        <v>432</v>
      </c>
      <c r="B11" s="92" t="s">
        <v>433</v>
      </c>
      <c r="C11" s="92" t="s">
        <v>418</v>
      </c>
      <c r="D11" s="92" t="s">
        <v>486</v>
      </c>
      <c r="E11" s="93">
        <v>4849.07</v>
      </c>
      <c r="F11" s="98" t="str">
        <f t="shared" si="2"/>
        <v>00142</v>
      </c>
      <c r="G11" s="31" t="str">
        <f t="shared" si="0"/>
        <v xml:space="preserve">Гарипов Адель Ленарович                           </v>
      </c>
      <c r="H11" s="31" t="str">
        <f t="shared" si="3"/>
        <v>11б род апрель</v>
      </c>
      <c r="I11" s="94" t="s">
        <v>387</v>
      </c>
      <c r="J11" s="31">
        <v>92701000</v>
      </c>
      <c r="M11" s="31">
        <f t="shared" si="1"/>
        <v>4849.07</v>
      </c>
    </row>
    <row r="12" spans="1:13" x14ac:dyDescent="0.25">
      <c r="A12" s="92" t="s">
        <v>434</v>
      </c>
      <c r="B12" s="92" t="s">
        <v>435</v>
      </c>
      <c r="C12" s="92" t="s">
        <v>418</v>
      </c>
      <c r="D12" s="92" t="s">
        <v>486</v>
      </c>
      <c r="E12" s="93">
        <v>5330.56</v>
      </c>
      <c r="F12" s="98" t="str">
        <f t="shared" si="2"/>
        <v>00121</v>
      </c>
      <c r="G12" s="31" t="str">
        <f t="shared" si="0"/>
        <v xml:space="preserve">Исмагилов Камил Хамитович                         </v>
      </c>
      <c r="H12" s="31" t="str">
        <f t="shared" si="3"/>
        <v>11б род апрель</v>
      </c>
      <c r="I12" s="94" t="s">
        <v>387</v>
      </c>
      <c r="J12" s="31">
        <v>92701000</v>
      </c>
      <c r="M12" s="31">
        <f t="shared" si="1"/>
        <v>5330.56</v>
      </c>
    </row>
    <row r="13" spans="1:13" x14ac:dyDescent="0.25">
      <c r="A13" s="92" t="s">
        <v>436</v>
      </c>
      <c r="B13" s="92" t="s">
        <v>437</v>
      </c>
      <c r="C13" s="92" t="s">
        <v>418</v>
      </c>
      <c r="D13" s="92" t="s">
        <v>486</v>
      </c>
      <c r="E13" s="93">
        <v>4849.07</v>
      </c>
      <c r="F13" s="98" t="str">
        <f t="shared" si="2"/>
        <v>00122</v>
      </c>
      <c r="G13" s="31" t="str">
        <f t="shared" si="0"/>
        <v xml:space="preserve">Исмагилов Мухаммад Айратович                      </v>
      </c>
      <c r="H13" s="31" t="str">
        <f t="shared" si="3"/>
        <v>11б род апрель</v>
      </c>
      <c r="I13" s="94" t="s">
        <v>387</v>
      </c>
      <c r="J13" s="31">
        <v>92701000</v>
      </c>
      <c r="M13" s="31">
        <f t="shared" si="1"/>
        <v>4849.07</v>
      </c>
    </row>
    <row r="14" spans="1:13" x14ac:dyDescent="0.25">
      <c r="A14" s="92" t="s">
        <v>438</v>
      </c>
      <c r="B14" s="92" t="s">
        <v>439</v>
      </c>
      <c r="C14" s="92" t="s">
        <v>418</v>
      </c>
      <c r="D14" s="92" t="s">
        <v>486</v>
      </c>
      <c r="E14" s="93">
        <v>29495.55</v>
      </c>
      <c r="F14" s="98" t="str">
        <f t="shared" si="2"/>
        <v>00145</v>
      </c>
      <c r="G14" s="31" t="str">
        <f t="shared" si="0"/>
        <v xml:space="preserve">Камалиев Карим Фидаилович                         </v>
      </c>
      <c r="H14" s="31" t="str">
        <f t="shared" si="3"/>
        <v>11б род апрель</v>
      </c>
      <c r="I14" s="94" t="s">
        <v>387</v>
      </c>
      <c r="J14" s="31">
        <v>92701000</v>
      </c>
      <c r="M14" s="31">
        <f t="shared" si="1"/>
        <v>29495.55</v>
      </c>
    </row>
    <row r="15" spans="1:13" x14ac:dyDescent="0.25">
      <c r="A15" s="92" t="s">
        <v>440</v>
      </c>
      <c r="B15" s="92" t="s">
        <v>441</v>
      </c>
      <c r="C15" s="92" t="s">
        <v>418</v>
      </c>
      <c r="D15" s="92" t="s">
        <v>486</v>
      </c>
      <c r="E15" s="93">
        <v>11850.4</v>
      </c>
      <c r="F15" s="98" t="str">
        <f t="shared" si="2"/>
        <v>00147</v>
      </c>
      <c r="G15" s="31" t="str">
        <f t="shared" si="0"/>
        <v xml:space="preserve">Нигматуллин Амир Рустемович                       </v>
      </c>
      <c r="H15" s="31" t="str">
        <f t="shared" si="3"/>
        <v>11б род апрель</v>
      </c>
      <c r="I15" s="94" t="s">
        <v>387</v>
      </c>
      <c r="J15" s="31">
        <v>92701000</v>
      </c>
      <c r="M15" s="31">
        <f t="shared" si="1"/>
        <v>11850.4</v>
      </c>
    </row>
    <row r="16" spans="1:13" x14ac:dyDescent="0.25">
      <c r="A16" s="92" t="s">
        <v>483</v>
      </c>
      <c r="B16" s="92" t="s">
        <v>484</v>
      </c>
      <c r="C16" s="92" t="s">
        <v>418</v>
      </c>
      <c r="D16" s="92" t="s">
        <v>486</v>
      </c>
      <c r="E16" s="93">
        <v>4201.09</v>
      </c>
      <c r="F16" s="98" t="str">
        <f t="shared" si="2"/>
        <v>00164</v>
      </c>
      <c r="G16" s="31" t="str">
        <f t="shared" si="0"/>
        <v xml:space="preserve">Рахимкулов Сафиулла Валиуллович                   </v>
      </c>
      <c r="H16" s="31" t="str">
        <f t="shared" si="3"/>
        <v>11б род апрель</v>
      </c>
      <c r="I16" s="94" t="s">
        <v>387</v>
      </c>
      <c r="J16" s="31">
        <v>92701000</v>
      </c>
      <c r="M16" s="31">
        <f t="shared" si="1"/>
        <v>4201.09</v>
      </c>
    </row>
    <row r="17" spans="1:13" x14ac:dyDescent="0.25">
      <c r="A17" s="92" t="s">
        <v>442</v>
      </c>
      <c r="B17" s="92" t="s">
        <v>443</v>
      </c>
      <c r="C17" s="92" t="s">
        <v>418</v>
      </c>
      <c r="D17" s="92" t="s">
        <v>486</v>
      </c>
      <c r="E17" s="93">
        <v>5330.56</v>
      </c>
      <c r="F17" s="98" t="str">
        <f t="shared" si="2"/>
        <v>00129</v>
      </c>
      <c r="G17" s="31" t="str">
        <f t="shared" si="0"/>
        <v xml:space="preserve">Сагдиев Миннур Маннафович                         </v>
      </c>
      <c r="H17" s="31" t="str">
        <f t="shared" si="3"/>
        <v>11б род апрель</v>
      </c>
      <c r="I17" s="94" t="s">
        <v>387</v>
      </c>
      <c r="J17" s="31">
        <v>92701000</v>
      </c>
      <c r="M17" s="31">
        <f t="shared" si="1"/>
        <v>5330.56</v>
      </c>
    </row>
    <row r="18" spans="1:13" x14ac:dyDescent="0.25">
      <c r="A18" s="92" t="s">
        <v>444</v>
      </c>
      <c r="B18" s="92" t="s">
        <v>445</v>
      </c>
      <c r="C18" s="92" t="s">
        <v>418</v>
      </c>
      <c r="D18" s="92" t="s">
        <v>486</v>
      </c>
      <c r="E18" s="93">
        <v>4849.07</v>
      </c>
      <c r="F18" s="98" t="str">
        <f t="shared" si="2"/>
        <v>00149</v>
      </c>
      <c r="G18" s="31" t="str">
        <f t="shared" si="0"/>
        <v xml:space="preserve">Тухватуллин Карим Альбертович                     </v>
      </c>
      <c r="H18" s="31" t="str">
        <f t="shared" si="3"/>
        <v>11б род апрель</v>
      </c>
      <c r="I18" s="94" t="s">
        <v>387</v>
      </c>
      <c r="J18" s="31">
        <v>92701000</v>
      </c>
      <c r="M18" s="31">
        <f t="shared" si="1"/>
        <v>4849.07</v>
      </c>
    </row>
    <row r="19" spans="1:13" x14ac:dyDescent="0.25">
      <c r="A19" s="92" t="s">
        <v>446</v>
      </c>
      <c r="B19" s="92" t="s">
        <v>492</v>
      </c>
      <c r="C19" s="92" t="s">
        <v>418</v>
      </c>
      <c r="D19" s="92" t="s">
        <v>486</v>
      </c>
      <c r="E19" s="93">
        <v>4849.07</v>
      </c>
      <c r="F19" s="98" t="str">
        <f t="shared" si="2"/>
        <v>00133</v>
      </c>
      <c r="G19" s="31" t="str">
        <f t="shared" si="0"/>
        <v xml:space="preserve">Шарафутдинов Ринат Рустамович                     </v>
      </c>
      <c r="H19" s="31" t="str">
        <f t="shared" si="3"/>
        <v>11б род апрель</v>
      </c>
      <c r="I19" s="94" t="s">
        <v>387</v>
      </c>
      <c r="J19" s="31">
        <v>92701000</v>
      </c>
      <c r="M19" s="31">
        <f t="shared" si="1"/>
        <v>4849.07</v>
      </c>
    </row>
    <row r="20" spans="1:13" x14ac:dyDescent="0.25">
      <c r="A20" s="92" t="s">
        <v>397</v>
      </c>
      <c r="B20" s="92" t="s">
        <v>398</v>
      </c>
      <c r="C20" s="92" t="s">
        <v>396</v>
      </c>
      <c r="D20" s="92" t="s">
        <v>411</v>
      </c>
      <c r="E20" s="93">
        <v>2838</v>
      </c>
      <c r="F20" s="98" t="str">
        <f t="shared" si="2"/>
        <v>00168</v>
      </c>
      <c r="G20" s="31" t="str">
        <f t="shared" si="0"/>
        <v xml:space="preserve">Хуснуллин Муса Марсович                           </v>
      </c>
      <c r="H20" s="31" t="str">
        <f t="shared" si="3"/>
        <v>11а род февр</v>
      </c>
      <c r="I20" s="94" t="s">
        <v>387</v>
      </c>
      <c r="J20" s="31">
        <v>92701000</v>
      </c>
      <c r="M20" s="31">
        <f t="shared" si="1"/>
        <v>2838</v>
      </c>
    </row>
    <row r="21" spans="1:13" x14ac:dyDescent="0.25">
      <c r="A21" s="92" t="s">
        <v>399</v>
      </c>
      <c r="B21" s="92" t="s">
        <v>400</v>
      </c>
      <c r="C21" s="92" t="s">
        <v>396</v>
      </c>
      <c r="D21" s="92" t="s">
        <v>411</v>
      </c>
      <c r="E21" s="93">
        <v>2540</v>
      </c>
      <c r="F21" s="98" t="str">
        <f t="shared" si="2"/>
        <v>00169</v>
      </c>
      <c r="G21" s="31" t="str">
        <f t="shared" si="0"/>
        <v xml:space="preserve">Шакирзянов Рамиль Ильдарович                      </v>
      </c>
      <c r="H21" s="31" t="str">
        <f t="shared" si="3"/>
        <v>11а род февр</v>
      </c>
      <c r="I21" s="94" t="s">
        <v>387</v>
      </c>
      <c r="J21" s="31">
        <v>92701000</v>
      </c>
      <c r="M21" s="31">
        <f t="shared" si="1"/>
        <v>2540</v>
      </c>
    </row>
    <row r="22" spans="1:13" x14ac:dyDescent="0.25">
      <c r="A22" s="92" t="s">
        <v>401</v>
      </c>
      <c r="B22" s="92" t="s">
        <v>402</v>
      </c>
      <c r="C22" s="92" t="s">
        <v>396</v>
      </c>
      <c r="D22" s="92" t="s">
        <v>411</v>
      </c>
      <c r="E22" s="93">
        <v>5248.95</v>
      </c>
      <c r="F22" s="98" t="str">
        <f t="shared" si="2"/>
        <v>00170</v>
      </c>
      <c r="G22" s="31" t="str">
        <f t="shared" si="0"/>
        <v xml:space="preserve">Шакиров Равиль Расилевич                          </v>
      </c>
      <c r="H22" s="31" t="str">
        <f t="shared" si="3"/>
        <v>11а род февр</v>
      </c>
      <c r="I22" s="94" t="s">
        <v>387</v>
      </c>
      <c r="J22" s="31">
        <v>92701000</v>
      </c>
      <c r="M22" s="31">
        <f t="shared" si="1"/>
        <v>5248.95</v>
      </c>
    </row>
    <row r="23" spans="1:13" x14ac:dyDescent="0.25">
      <c r="A23" s="92" t="s">
        <v>403</v>
      </c>
      <c r="B23" s="92" t="s">
        <v>404</v>
      </c>
      <c r="C23" s="92" t="s">
        <v>396</v>
      </c>
      <c r="D23" s="92" t="s">
        <v>411</v>
      </c>
      <c r="E23" s="93">
        <v>2540</v>
      </c>
      <c r="F23" s="98" t="str">
        <f t="shared" si="2"/>
        <v>00132</v>
      </c>
      <c r="G23" s="31" t="str">
        <f t="shared" si="0"/>
        <v xml:space="preserve">Шакиртянов Булат Радифович                        </v>
      </c>
      <c r="H23" s="31" t="str">
        <f t="shared" si="3"/>
        <v>11а род февр</v>
      </c>
      <c r="I23" s="94" t="s">
        <v>387</v>
      </c>
      <c r="J23" s="31">
        <v>92701000</v>
      </c>
      <c r="M23" s="31">
        <f t="shared" si="1"/>
        <v>2540</v>
      </c>
    </row>
    <row r="24" spans="1:13" x14ac:dyDescent="0.25">
      <c r="A24" s="92" t="s">
        <v>405</v>
      </c>
      <c r="B24" s="92" t="s">
        <v>406</v>
      </c>
      <c r="C24" s="92" t="s">
        <v>396</v>
      </c>
      <c r="D24" s="92" t="s">
        <v>411</v>
      </c>
      <c r="E24" s="93">
        <v>2907.16</v>
      </c>
      <c r="F24" s="98" t="str">
        <f t="shared" si="2"/>
        <v>00171</v>
      </c>
      <c r="G24" s="31" t="str">
        <f t="shared" si="0"/>
        <v xml:space="preserve">Шарафиев Булат Маратович                          </v>
      </c>
      <c r="H24" s="31" t="str">
        <f t="shared" si="3"/>
        <v>11а род февр</v>
      </c>
      <c r="I24" s="94" t="s">
        <v>387</v>
      </c>
      <c r="J24" s="31">
        <v>92701000</v>
      </c>
      <c r="M24" s="31">
        <f t="shared" si="1"/>
        <v>2907.16</v>
      </c>
    </row>
    <row r="25" spans="1:13" x14ac:dyDescent="0.25">
      <c r="A25" s="92" t="s">
        <v>407</v>
      </c>
      <c r="B25" s="92" t="s">
        <v>408</v>
      </c>
      <c r="C25" s="92" t="s">
        <v>396</v>
      </c>
      <c r="D25" s="92" t="s">
        <v>411</v>
      </c>
      <c r="E25" s="93">
        <v>2540</v>
      </c>
      <c r="F25" s="98" t="str">
        <f t="shared" si="2"/>
        <v>00151</v>
      </c>
      <c r="G25" s="31" t="str">
        <f t="shared" si="0"/>
        <v xml:space="preserve">Шарафутдинов Амир Азатович                        </v>
      </c>
      <c r="H25" s="31" t="str">
        <f t="shared" si="3"/>
        <v>11а род февр</v>
      </c>
      <c r="I25" s="94" t="s">
        <v>387</v>
      </c>
      <c r="J25" s="31">
        <v>92701000</v>
      </c>
      <c r="M25" s="31">
        <f t="shared" si="1"/>
        <v>2540</v>
      </c>
    </row>
    <row r="26" spans="1:13" x14ac:dyDescent="0.25">
      <c r="A26" s="92" t="s">
        <v>409</v>
      </c>
      <c r="B26" s="92" t="s">
        <v>410</v>
      </c>
      <c r="C26" s="92" t="s">
        <v>396</v>
      </c>
      <c r="D26" s="92" t="s">
        <v>411</v>
      </c>
      <c r="E26" s="93">
        <v>7226.71</v>
      </c>
      <c r="F26" s="98" t="str">
        <f t="shared" si="2"/>
        <v>00134</v>
      </c>
      <c r="G26" s="31" t="str">
        <f t="shared" si="0"/>
        <v xml:space="preserve">Шарифуллин Карим Вилорикович                      </v>
      </c>
      <c r="H26" s="31" t="str">
        <f t="shared" si="3"/>
        <v>11а род февр</v>
      </c>
      <c r="I26" s="94" t="s">
        <v>387</v>
      </c>
      <c r="J26" s="31">
        <v>92701000</v>
      </c>
      <c r="M26" s="31">
        <f t="shared" si="1"/>
        <v>7226.71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3"/>
  <sheetViews>
    <sheetView tabSelected="1" workbookViewId="0">
      <pane ySplit="6" topLeftCell="A7" activePane="bottomLeft" state="frozen"/>
      <selection activeCell="A2" sqref="A2"/>
      <selection pane="bottomLeft" activeCell="C23" sqref="C23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150274.75000000003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17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447</v>
      </c>
      <c r="B7" s="84" t="s">
        <v>420</v>
      </c>
      <c r="C7" s="84" t="s">
        <v>489</v>
      </c>
      <c r="D7" s="84" t="s">
        <v>387</v>
      </c>
      <c r="E7" s="87">
        <v>92701000</v>
      </c>
      <c r="F7" s="84"/>
      <c r="G7" s="84"/>
      <c r="H7" s="86">
        <v>31812.45</v>
      </c>
    </row>
    <row r="8" spans="1:8" x14ac:dyDescent="0.25">
      <c r="A8" s="95" t="s">
        <v>448</v>
      </c>
      <c r="B8" s="95" t="s">
        <v>422</v>
      </c>
      <c r="C8" s="95" t="s">
        <v>489</v>
      </c>
      <c r="D8" s="95" t="s">
        <v>387</v>
      </c>
      <c r="E8" s="95">
        <v>92701000</v>
      </c>
      <c r="F8" s="95"/>
      <c r="G8" s="95"/>
      <c r="H8" s="96">
        <v>8168.56</v>
      </c>
    </row>
    <row r="9" spans="1:8" x14ac:dyDescent="0.25">
      <c r="A9" s="95" t="s">
        <v>490</v>
      </c>
      <c r="B9" s="95" t="s">
        <v>488</v>
      </c>
      <c r="C9" s="95" t="s">
        <v>489</v>
      </c>
      <c r="D9" s="95" t="s">
        <v>387</v>
      </c>
      <c r="E9" s="95">
        <v>92701000</v>
      </c>
      <c r="F9" s="95"/>
      <c r="G9" s="95"/>
      <c r="H9" s="96">
        <v>2254.2600000000002</v>
      </c>
    </row>
    <row r="10" spans="1:8" x14ac:dyDescent="0.25">
      <c r="A10" s="99" t="s">
        <v>449</v>
      </c>
      <c r="B10" s="87" t="s">
        <v>424</v>
      </c>
      <c r="C10" s="87" t="s">
        <v>489</v>
      </c>
      <c r="D10" s="100" t="s">
        <v>387</v>
      </c>
      <c r="E10" s="87">
        <v>92701000</v>
      </c>
      <c r="F10" s="87"/>
      <c r="G10" s="87"/>
      <c r="H10" s="87">
        <v>12075.78</v>
      </c>
    </row>
    <row r="11" spans="1:8" x14ac:dyDescent="0.25">
      <c r="A11" s="99" t="s">
        <v>450</v>
      </c>
      <c r="B11" s="87" t="s">
        <v>426</v>
      </c>
      <c r="C11" s="87" t="s">
        <v>489</v>
      </c>
      <c r="D11" s="100" t="s">
        <v>387</v>
      </c>
      <c r="E11" s="87">
        <v>92701000</v>
      </c>
      <c r="F11" s="87"/>
      <c r="G11" s="87"/>
      <c r="H11" s="87">
        <v>4849.07</v>
      </c>
    </row>
    <row r="12" spans="1:8" x14ac:dyDescent="0.25">
      <c r="A12" s="99" t="s">
        <v>451</v>
      </c>
      <c r="B12" s="87" t="s">
        <v>428</v>
      </c>
      <c r="C12" s="87" t="s">
        <v>489</v>
      </c>
      <c r="D12" s="100" t="s">
        <v>387</v>
      </c>
      <c r="E12" s="87">
        <v>92701000</v>
      </c>
      <c r="F12" s="87"/>
      <c r="G12" s="87"/>
      <c r="H12" s="87">
        <v>5330.56</v>
      </c>
    </row>
    <row r="13" spans="1:8" x14ac:dyDescent="0.25">
      <c r="A13" s="99" t="s">
        <v>452</v>
      </c>
      <c r="B13" s="87" t="s">
        <v>430</v>
      </c>
      <c r="C13" s="87" t="s">
        <v>489</v>
      </c>
      <c r="D13" s="100" t="s">
        <v>387</v>
      </c>
      <c r="E13" s="87">
        <v>92701000</v>
      </c>
      <c r="F13" s="87"/>
      <c r="G13" s="87"/>
      <c r="H13" s="87">
        <v>5330.56</v>
      </c>
    </row>
    <row r="14" spans="1:8" x14ac:dyDescent="0.25">
      <c r="A14" s="99" t="s">
        <v>453</v>
      </c>
      <c r="B14" s="87" t="s">
        <v>491</v>
      </c>
      <c r="C14" s="87" t="s">
        <v>489</v>
      </c>
      <c r="D14" s="100" t="s">
        <v>387</v>
      </c>
      <c r="E14" s="87">
        <v>92701000</v>
      </c>
      <c r="F14" s="87"/>
      <c r="G14" s="87"/>
      <c r="H14" s="87">
        <v>4849.07</v>
      </c>
    </row>
    <row r="15" spans="1:8" x14ac:dyDescent="0.25">
      <c r="A15" s="99" t="s">
        <v>454</v>
      </c>
      <c r="B15" s="87" t="s">
        <v>433</v>
      </c>
      <c r="C15" s="87" t="s">
        <v>489</v>
      </c>
      <c r="D15" s="100" t="s">
        <v>387</v>
      </c>
      <c r="E15" s="87">
        <v>92701000</v>
      </c>
      <c r="F15" s="87"/>
      <c r="G15" s="87"/>
      <c r="H15" s="87">
        <v>4849.07</v>
      </c>
    </row>
    <row r="16" spans="1:8" x14ac:dyDescent="0.25">
      <c r="A16" s="99" t="s">
        <v>455</v>
      </c>
      <c r="B16" s="87" t="s">
        <v>435</v>
      </c>
      <c r="C16" s="87" t="s">
        <v>489</v>
      </c>
      <c r="D16" s="100" t="s">
        <v>387</v>
      </c>
      <c r="E16" s="87">
        <v>92701000</v>
      </c>
      <c r="F16" s="87"/>
      <c r="G16" s="87"/>
      <c r="H16" s="87">
        <v>5330.56</v>
      </c>
    </row>
    <row r="17" spans="1:8" x14ac:dyDescent="0.25">
      <c r="A17" s="99" t="s">
        <v>456</v>
      </c>
      <c r="B17" s="87" t="s">
        <v>437</v>
      </c>
      <c r="C17" s="87" t="s">
        <v>489</v>
      </c>
      <c r="D17" s="100" t="s">
        <v>387</v>
      </c>
      <c r="E17" s="87">
        <v>92701000</v>
      </c>
      <c r="F17" s="87"/>
      <c r="G17" s="87"/>
      <c r="H17" s="87">
        <v>4849.07</v>
      </c>
    </row>
    <row r="18" spans="1:8" x14ac:dyDescent="0.25">
      <c r="A18" s="99" t="s">
        <v>457</v>
      </c>
      <c r="B18" s="87" t="s">
        <v>439</v>
      </c>
      <c r="C18" s="87" t="s">
        <v>489</v>
      </c>
      <c r="D18" s="100" t="s">
        <v>387</v>
      </c>
      <c r="E18" s="87">
        <v>92701000</v>
      </c>
      <c r="F18" s="87"/>
      <c r="G18" s="87"/>
      <c r="H18" s="87">
        <v>29495.55</v>
      </c>
    </row>
    <row r="19" spans="1:8" x14ac:dyDescent="0.25">
      <c r="A19" s="99" t="s">
        <v>458</v>
      </c>
      <c r="B19" s="87" t="s">
        <v>441</v>
      </c>
      <c r="C19" s="87" t="s">
        <v>489</v>
      </c>
      <c r="D19" s="100" t="s">
        <v>387</v>
      </c>
      <c r="E19" s="87">
        <v>92701000</v>
      </c>
      <c r="F19" s="87"/>
      <c r="G19" s="87"/>
      <c r="H19" s="87">
        <v>11850.4</v>
      </c>
    </row>
    <row r="20" spans="1:8" x14ac:dyDescent="0.25">
      <c r="A20" s="99" t="s">
        <v>485</v>
      </c>
      <c r="B20" s="87" t="s">
        <v>484</v>
      </c>
      <c r="C20" s="87" t="s">
        <v>489</v>
      </c>
      <c r="D20" s="100" t="s">
        <v>387</v>
      </c>
      <c r="E20" s="87">
        <v>92701000</v>
      </c>
      <c r="F20" s="87"/>
      <c r="G20" s="87"/>
      <c r="H20" s="87">
        <v>4201.09</v>
      </c>
    </row>
    <row r="21" spans="1:8" x14ac:dyDescent="0.25">
      <c r="A21" s="99" t="s">
        <v>459</v>
      </c>
      <c r="B21" s="87" t="s">
        <v>443</v>
      </c>
      <c r="C21" s="87" t="s">
        <v>489</v>
      </c>
      <c r="D21" s="100" t="s">
        <v>387</v>
      </c>
      <c r="E21" s="87">
        <v>92701000</v>
      </c>
      <c r="F21" s="87"/>
      <c r="G21" s="87"/>
      <c r="H21" s="87">
        <v>5330.56</v>
      </c>
    </row>
    <row r="22" spans="1:8" x14ac:dyDescent="0.25">
      <c r="A22" s="99" t="s">
        <v>460</v>
      </c>
      <c r="B22" s="87" t="s">
        <v>445</v>
      </c>
      <c r="C22" s="87" t="s">
        <v>489</v>
      </c>
      <c r="D22" s="100" t="s">
        <v>387</v>
      </c>
      <c r="E22" s="87">
        <v>92701000</v>
      </c>
      <c r="F22" s="87"/>
      <c r="G22" s="87"/>
      <c r="H22" s="87">
        <v>4849.07</v>
      </c>
    </row>
    <row r="23" spans="1:8" x14ac:dyDescent="0.25">
      <c r="A23" s="99" t="s">
        <v>461</v>
      </c>
      <c r="B23" s="87" t="s">
        <v>492</v>
      </c>
      <c r="C23" s="87" t="s">
        <v>489</v>
      </c>
      <c r="D23" s="100" t="s">
        <v>387</v>
      </c>
      <c r="E23" s="87">
        <v>92701000</v>
      </c>
      <c r="F23" s="87"/>
      <c r="G23" s="87"/>
      <c r="H23" s="87">
        <v>4849.07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3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3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3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3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5"/>
      <c r="X2" s="10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10"/>
    </row>
    <row r="3" spans="1:46" s="13" customFormat="1" ht="12.75" customHeight="1" x14ac:dyDescent="0.2">
      <c r="A3" s="108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5"/>
      <c r="X3" s="111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10"/>
    </row>
    <row r="4" spans="1:46" s="13" customFormat="1" ht="6" customHeight="1" x14ac:dyDescent="0.2">
      <c r="A4" s="108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5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3" t="str">
        <f>"ИНН "&amp;INN&amp;", БИК "&amp;BIC&amp;", Р/С "&amp;PersonalAcc</f>
        <v>ИНН 1657032924, БИК 019205400, Р/С 03234643927010001100</v>
      </c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28"/>
      <c r="P5" s="28"/>
      <c r="Q5" s="28"/>
      <c r="R5" s="28"/>
      <c r="S5" s="28"/>
      <c r="T5" s="28"/>
      <c r="U5" s="28"/>
      <c r="V5" s="28"/>
      <c r="W5" s="15"/>
      <c r="X5" s="14"/>
      <c r="Y5" s="112" t="str">
        <f>"ИНН "&amp;INN&amp;", БИК "&amp;BIC&amp;", Р/С "&amp;PersonalAcc</f>
        <v>ИНН 1657032924, БИК 019205400, Р/С 03234643927010001100</v>
      </c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28"/>
      <c r="P6" s="28"/>
      <c r="Q6" s="28"/>
      <c r="R6" s="28"/>
      <c r="S6" s="28"/>
      <c r="T6" s="28"/>
      <c r="U6" s="28"/>
      <c r="V6" s="28"/>
      <c r="W6" s="15"/>
      <c r="X6" s="14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2"/>
      <c r="P7" s="12"/>
      <c r="Q7" s="12"/>
      <c r="R7" s="12"/>
      <c r="S7" s="12"/>
      <c r="T7" s="12"/>
      <c r="U7" s="12"/>
      <c r="V7" s="12"/>
      <c r="W7" s="15"/>
      <c r="X7" s="14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2"/>
      <c r="P8" s="12"/>
      <c r="Q8" s="12"/>
      <c r="R8" s="12"/>
      <c r="S8" s="12"/>
      <c r="T8" s="12"/>
      <c r="U8" s="12"/>
      <c r="V8" s="12"/>
      <c r="W8" s="15"/>
      <c r="X8" s="14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2"/>
      <c r="P9" s="12"/>
      <c r="Q9" s="12"/>
      <c r="R9" s="12"/>
      <c r="S9" s="12"/>
      <c r="T9" s="12"/>
      <c r="U9" s="12"/>
      <c r="V9" s="12"/>
      <c r="W9" s="15"/>
      <c r="X9" s="14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4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4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4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4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4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3"/>
      <c r="Z12" s="103"/>
      <c r="AA12" s="103"/>
      <c r="AB12" s="103"/>
      <c r="AC12" s="103"/>
      <c r="AD12" s="103"/>
      <c r="AE12" s="103"/>
      <c r="AF12" s="103"/>
      <c r="AG12" s="103"/>
      <c r="AH12" s="103"/>
      <c r="AI12" s="103"/>
      <c r="AJ12" s="103"/>
      <c r="AK12" s="104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4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K13" s="104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4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4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4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3"/>
      <c r="Z15" s="103"/>
      <c r="AA15" s="103"/>
      <c r="AB15" s="103"/>
      <c r="AC15" s="103"/>
      <c r="AD15" s="103"/>
      <c r="AE15" s="103"/>
      <c r="AF15" s="103"/>
      <c r="AG15" s="103"/>
      <c r="AH15" s="103"/>
      <c r="AI15" s="103"/>
      <c r="AJ15" s="103"/>
      <c r="AK15" s="104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6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6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6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J18" s="105"/>
      <c r="AK18" s="106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6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6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6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5"/>
      <c r="Z20" s="105"/>
      <c r="AA20" s="105"/>
      <c r="AB20" s="105"/>
      <c r="AC20" s="105"/>
      <c r="AD20" s="105"/>
      <c r="AE20" s="105"/>
      <c r="AF20" s="105"/>
      <c r="AG20" s="105"/>
      <c r="AH20" s="105"/>
      <c r="AI20" s="105"/>
      <c r="AJ20" s="105"/>
      <c r="AK20" s="106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10"/>
      <c r="X23" s="10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10"/>
    </row>
    <row r="24" spans="1:46" s="13" customFormat="1" ht="12.75" customHeight="1" x14ac:dyDescent="0.2">
      <c r="A24" s="111"/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10"/>
      <c r="X24" s="111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1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2" t="str">
        <f>"ИНН "&amp;INN&amp;", БИК "&amp;BIC&amp;", Р/С "&amp;PersonalAcc</f>
        <v>ИНН 1657032924, БИК 019205400, Р/С 03234643927010001100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2" t="str">
        <f>"ИНН "&amp;INN&amp;", БИК "&amp;BIC&amp;", Р/С "&amp;PersonalAcc</f>
        <v>ИНН 1657032924, БИК 019205400, Р/С 03234643927010001100</v>
      </c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4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4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4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4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4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4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4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4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4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4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4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4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6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6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6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6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6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6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6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6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10"/>
      <c r="X44" s="10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10"/>
    </row>
    <row r="45" spans="1:46" s="13" customFormat="1" ht="12.75" customHeight="1" x14ac:dyDescent="0.2">
      <c r="A45" s="111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10"/>
      <c r="X45" s="111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1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2" t="str">
        <f>"ИНН "&amp;INN&amp;", БИК "&amp;BIC&amp;", Р/С "&amp;PersonalAcc</f>
        <v>ИНН 1657032924, БИК 019205400, Р/С 03234643927010001100</v>
      </c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2" t="str">
        <f>"ИНН "&amp;INN&amp;", БИК "&amp;BIC&amp;", Р/С "&amp;PersonalAcc</f>
        <v>ИНН 1657032924, БИК 019205400, Р/С 03234643927010001100</v>
      </c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4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  <c r="AJ52" s="103"/>
      <c r="AK52" s="104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4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  <c r="AK53" s="104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4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103"/>
      <c r="AJ54" s="103"/>
      <c r="AK54" s="104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4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K55" s="104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4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4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3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4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K57" s="104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6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6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6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6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6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6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6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5"/>
      <c r="Z62" s="105"/>
      <c r="AA62" s="105"/>
      <c r="AB62" s="105"/>
      <c r="AC62" s="105"/>
      <c r="AD62" s="105"/>
      <c r="AE62" s="105"/>
      <c r="AF62" s="105"/>
      <c r="AG62" s="105"/>
      <c r="AH62" s="105"/>
      <c r="AI62" s="105"/>
      <c r="AJ62" s="105"/>
      <c r="AK62" s="106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7"/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6" t="s">
        <v>95</v>
      </c>
      <c r="B27" s="116"/>
      <c r="C27" s="116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8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5"/>
      <c r="X2" s="108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10"/>
    </row>
    <row r="3" spans="1:46" s="13" customFormat="1" ht="12.75" customHeight="1" x14ac:dyDescent="0.2">
      <c r="A3" s="108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5"/>
      <c r="X3" s="111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10"/>
    </row>
    <row r="4" spans="1:46" s="13" customFormat="1" ht="6" customHeight="1" x14ac:dyDescent="0.2">
      <c r="A4" s="108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5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28"/>
      <c r="P5" s="28"/>
      <c r="Q5" s="28"/>
      <c r="R5" s="28"/>
      <c r="S5" s="28"/>
      <c r="T5" s="28"/>
      <c r="U5" s="28"/>
      <c r="V5" s="28"/>
      <c r="W5" s="15"/>
      <c r="X5" s="14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28"/>
      <c r="P6" s="28"/>
      <c r="Q6" s="28"/>
      <c r="R6" s="28"/>
      <c r="S6" s="28"/>
      <c r="T6" s="28"/>
      <c r="U6" s="28"/>
      <c r="V6" s="28"/>
      <c r="W6" s="15"/>
      <c r="X6" s="14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2"/>
      <c r="P7" s="12"/>
      <c r="Q7" s="12"/>
      <c r="R7" s="12"/>
      <c r="S7" s="12"/>
      <c r="T7" s="12"/>
      <c r="U7" s="12"/>
      <c r="V7" s="12"/>
      <c r="W7" s="15"/>
      <c r="X7" s="14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2"/>
      <c r="P8" s="12"/>
      <c r="Q8" s="12"/>
      <c r="R8" s="12"/>
      <c r="S8" s="12"/>
      <c r="T8" s="12"/>
      <c r="U8" s="12"/>
      <c r="V8" s="12"/>
      <c r="W8" s="15"/>
      <c r="X8" s="14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2"/>
      <c r="P9" s="12"/>
      <c r="Q9" s="12"/>
      <c r="R9" s="12"/>
      <c r="S9" s="12"/>
      <c r="T9" s="12"/>
      <c r="U9" s="12"/>
      <c r="V9" s="12"/>
      <c r="W9" s="15"/>
      <c r="X9" s="14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4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4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4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4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4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3"/>
      <c r="Z12" s="103"/>
      <c r="AA12" s="103"/>
      <c r="AB12" s="103"/>
      <c r="AC12" s="103"/>
      <c r="AD12" s="103"/>
      <c r="AE12" s="103"/>
      <c r="AF12" s="103"/>
      <c r="AG12" s="103"/>
      <c r="AH12" s="103"/>
      <c r="AI12" s="103"/>
      <c r="AJ12" s="103"/>
      <c r="AK12" s="104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4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K13" s="104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4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4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4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3"/>
      <c r="Z15" s="103"/>
      <c r="AA15" s="103"/>
      <c r="AB15" s="103"/>
      <c r="AC15" s="103"/>
      <c r="AD15" s="103"/>
      <c r="AE15" s="103"/>
      <c r="AF15" s="103"/>
      <c r="AG15" s="103"/>
      <c r="AH15" s="103"/>
      <c r="AI15" s="103"/>
      <c r="AJ15" s="103"/>
      <c r="AK15" s="104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6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6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6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J18" s="105"/>
      <c r="AK18" s="106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6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6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6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5"/>
      <c r="Z20" s="105"/>
      <c r="AA20" s="105"/>
      <c r="AB20" s="105"/>
      <c r="AC20" s="105"/>
      <c r="AD20" s="105"/>
      <c r="AE20" s="105"/>
      <c r="AF20" s="105"/>
      <c r="AG20" s="105"/>
      <c r="AH20" s="105"/>
      <c r="AI20" s="105"/>
      <c r="AJ20" s="105"/>
      <c r="AK20" s="106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8"/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10"/>
      <c r="X23" s="108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10"/>
    </row>
    <row r="24" spans="1:46" s="13" customFormat="1" ht="12.75" customHeight="1" x14ac:dyDescent="0.2">
      <c r="A24" s="111"/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10"/>
      <c r="X24" s="111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1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4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4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4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4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4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4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4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4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4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4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4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4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6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6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6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6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6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6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6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6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8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10"/>
      <c r="X44" s="108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10"/>
    </row>
    <row r="45" spans="1:46" s="13" customFormat="1" ht="12.75" customHeight="1" x14ac:dyDescent="0.2">
      <c r="A45" s="111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10"/>
      <c r="X45" s="111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1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4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  <c r="AJ52" s="103"/>
      <c r="AK52" s="104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4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  <c r="AK53" s="104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4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103"/>
      <c r="AJ54" s="103"/>
      <c r="AK54" s="104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4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K55" s="104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4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4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3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4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K57" s="104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6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6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6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6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6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6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6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5"/>
      <c r="Z62" s="105"/>
      <c r="AA62" s="105"/>
      <c r="AB62" s="105"/>
      <c r="AC62" s="105"/>
      <c r="AD62" s="105"/>
      <c r="AE62" s="105"/>
      <c r="AF62" s="105"/>
      <c r="AG62" s="105"/>
      <c r="AH62" s="105"/>
      <c r="AI62" s="105"/>
      <c r="AJ62" s="105"/>
      <c r="AK62" s="106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7"/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459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462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415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462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415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6" t="s">
        <v>95</v>
      </c>
      <c r="B27" s="116"/>
      <c r="C27" s="116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464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464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6" t="s">
        <v>95</v>
      </c>
      <c r="B54" s="116"/>
      <c r="C54" s="116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413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413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6" t="s">
        <v>95</v>
      </c>
      <c r="B81" s="116"/>
      <c r="C81" s="116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466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467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466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467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6" t="s">
        <v>95</v>
      </c>
      <c r="B108" s="116"/>
      <c r="C108" s="116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468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415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468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415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6" t="s">
        <v>95</v>
      </c>
      <c r="B135" s="116"/>
      <c r="C135" s="116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469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414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469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414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6" t="s">
        <v>95</v>
      </c>
      <c r="B162" s="116"/>
      <c r="C162" s="116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470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471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470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471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6" t="s">
        <v>95</v>
      </c>
      <c r="B189" s="116"/>
      <c r="C189" s="116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472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413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472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413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6" t="s">
        <v>95</v>
      </c>
      <c r="B216" s="116"/>
      <c r="C216" s="116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473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412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473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412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6" t="s">
        <v>95</v>
      </c>
      <c r="B243" s="116"/>
      <c r="C243" s="116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474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412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474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412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6" t="s">
        <v>95</v>
      </c>
      <c r="B270" s="116"/>
      <c r="C270" s="116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475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413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475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413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6" t="s">
        <v>95</v>
      </c>
      <c r="B297" s="116"/>
      <c r="C297" s="116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476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412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476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412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6" t="s">
        <v>95</v>
      </c>
      <c r="B324" s="116"/>
      <c r="C324" s="116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477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478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477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478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6" t="s">
        <v>95</v>
      </c>
      <c r="B351" s="116"/>
      <c r="C351" s="116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479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415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479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415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6" t="s">
        <v>95</v>
      </c>
      <c r="B378" s="116"/>
      <c r="C378" s="116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413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413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6" t="s">
        <v>95</v>
      </c>
      <c r="B405" s="116"/>
      <c r="C405" s="116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481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412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481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412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6" t="s">
        <v>95</v>
      </c>
      <c r="B432" s="116"/>
      <c r="C432" s="116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412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412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6" t="s">
        <v>95</v>
      </c>
      <c r="B459" s="116"/>
      <c r="C459" s="116"/>
    </row>
  </sheetData>
  <mergeCells count="17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351:C351"/>
    <mergeCell ref="A378:C378"/>
    <mergeCell ref="A405:C405"/>
    <mergeCell ref="A432:C432"/>
    <mergeCell ref="A459:C459"/>
  </mergeCells>
  <pageMargins left="0.19685039370078741" right="0.39370078740157483" top="0.39370078740157483" bottom="0.59055118110236227" header="0" footer="0"/>
  <pageSetup paperSize="9" fitToHeight="9" orientation="portrait" r:id="rId1"/>
  <rowBreaks count="17" manualBreakCount="17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7" t="s">
        <v>128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7"/>
      <c r="DL1" s="117"/>
      <c r="DM1" s="117"/>
      <c r="DN1" s="117"/>
      <c r="DO1" s="117"/>
      <c r="DP1" s="117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7" t="s">
        <v>129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37" t="s">
        <v>134</v>
      </c>
      <c r="BO5" s="46"/>
      <c r="BP5" s="52"/>
      <c r="BQ5" s="52"/>
      <c r="BR5" s="52"/>
      <c r="BZ5" s="122" t="s">
        <v>153</v>
      </c>
      <c r="CA5" s="123"/>
      <c r="CB5" s="123"/>
      <c r="CC5" s="123"/>
      <c r="CD5" s="123"/>
      <c r="CE5" s="123"/>
      <c r="CF5" s="123"/>
      <c r="CG5" s="123"/>
      <c r="CH5" s="123"/>
      <c r="CI5" s="124"/>
      <c r="CJ5" s="122" t="s">
        <v>154</v>
      </c>
      <c r="CK5" s="123"/>
      <c r="CL5" s="123"/>
      <c r="CM5" s="123"/>
      <c r="CN5" s="123"/>
      <c r="CO5" s="123"/>
      <c r="CP5" s="124"/>
      <c r="CQ5" s="122" t="s">
        <v>155</v>
      </c>
      <c r="CR5" s="123"/>
      <c r="CS5" s="123"/>
      <c r="CT5" s="123"/>
      <c r="CU5" s="123"/>
      <c r="CV5" s="123"/>
      <c r="CW5" s="123"/>
      <c r="CX5" s="123"/>
      <c r="CY5" s="124"/>
      <c r="CZ5" s="122" t="s">
        <v>156</v>
      </c>
      <c r="DA5" s="123"/>
      <c r="DB5" s="123"/>
      <c r="DC5" s="123"/>
      <c r="DD5" s="123"/>
      <c r="DE5" s="123"/>
      <c r="DF5" s="123"/>
      <c r="DG5" s="123"/>
      <c r="DH5" s="124"/>
      <c r="DI5" s="122" t="s">
        <v>157</v>
      </c>
      <c r="DJ5" s="123"/>
      <c r="DK5" s="123"/>
      <c r="DL5" s="123"/>
      <c r="DM5" s="123"/>
      <c r="DN5" s="123"/>
      <c r="DO5" s="123"/>
      <c r="DP5" s="124"/>
      <c r="DQ5" s="122" t="s">
        <v>158</v>
      </c>
      <c r="DR5" s="123"/>
      <c r="DS5" s="123"/>
      <c r="DT5" s="123"/>
      <c r="DU5" s="123"/>
      <c r="DV5" s="123"/>
      <c r="DW5" s="123"/>
      <c r="DX5" s="124"/>
      <c r="DY5" s="122" t="s">
        <v>159</v>
      </c>
      <c r="DZ5" s="123"/>
      <c r="EA5" s="123"/>
      <c r="EB5" s="123"/>
      <c r="EC5" s="123"/>
      <c r="ED5" s="123"/>
      <c r="EE5" s="123"/>
      <c r="EF5" s="123"/>
      <c r="EG5" s="123"/>
      <c r="EH5" s="124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5"/>
      <c r="CA6" s="126"/>
      <c r="CB6" s="126"/>
      <c r="CC6" s="126"/>
      <c r="CD6" s="126"/>
      <c r="CE6" s="126"/>
      <c r="CF6" s="126"/>
      <c r="CG6" s="126"/>
      <c r="CH6" s="126"/>
      <c r="CI6" s="127"/>
      <c r="CJ6" s="125"/>
      <c r="CK6" s="126"/>
      <c r="CL6" s="126"/>
      <c r="CM6" s="126"/>
      <c r="CN6" s="126"/>
      <c r="CO6" s="126"/>
      <c r="CP6" s="127"/>
      <c r="CQ6" s="125"/>
      <c r="CR6" s="126"/>
      <c r="CS6" s="126"/>
      <c r="CT6" s="126"/>
      <c r="CU6" s="126"/>
      <c r="CV6" s="126"/>
      <c r="CW6" s="126"/>
      <c r="CX6" s="126"/>
      <c r="CY6" s="127"/>
      <c r="CZ6" s="125"/>
      <c r="DA6" s="126"/>
      <c r="DB6" s="126"/>
      <c r="DC6" s="126"/>
      <c r="DD6" s="126"/>
      <c r="DE6" s="126"/>
      <c r="DF6" s="126"/>
      <c r="DG6" s="126"/>
      <c r="DH6" s="127"/>
      <c r="DI6" s="125"/>
      <c r="DJ6" s="126"/>
      <c r="DK6" s="126"/>
      <c r="DL6" s="126"/>
      <c r="DM6" s="126"/>
      <c r="DN6" s="126"/>
      <c r="DO6" s="126"/>
      <c r="DP6" s="127"/>
      <c r="DQ6" s="125"/>
      <c r="DR6" s="126"/>
      <c r="DS6" s="126"/>
      <c r="DT6" s="126"/>
      <c r="DU6" s="126"/>
      <c r="DV6" s="126"/>
      <c r="DW6" s="126"/>
      <c r="DX6" s="127"/>
      <c r="DY6" s="125"/>
      <c r="DZ6" s="126"/>
      <c r="EA6" s="126"/>
      <c r="EB6" s="126"/>
      <c r="EC6" s="126"/>
      <c r="ED6" s="126"/>
      <c r="EE6" s="126"/>
      <c r="EF6" s="126"/>
      <c r="EG6" s="126"/>
      <c r="EH6" s="127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O7" s="46"/>
      <c r="BZ7" s="125"/>
      <c r="CA7" s="126"/>
      <c r="CB7" s="126"/>
      <c r="CC7" s="126"/>
      <c r="CD7" s="126"/>
      <c r="CE7" s="126"/>
      <c r="CF7" s="126"/>
      <c r="CG7" s="126"/>
      <c r="CH7" s="126"/>
      <c r="CI7" s="127"/>
      <c r="CJ7" s="125"/>
      <c r="CK7" s="126"/>
      <c r="CL7" s="126"/>
      <c r="CM7" s="126"/>
      <c r="CN7" s="126"/>
      <c r="CO7" s="126"/>
      <c r="CP7" s="127"/>
      <c r="CQ7" s="125"/>
      <c r="CR7" s="126"/>
      <c r="CS7" s="126"/>
      <c r="CT7" s="126"/>
      <c r="CU7" s="126"/>
      <c r="CV7" s="126"/>
      <c r="CW7" s="126"/>
      <c r="CX7" s="126"/>
      <c r="CY7" s="127"/>
      <c r="CZ7" s="125"/>
      <c r="DA7" s="126"/>
      <c r="DB7" s="126"/>
      <c r="DC7" s="126"/>
      <c r="DD7" s="126"/>
      <c r="DE7" s="126"/>
      <c r="DF7" s="126"/>
      <c r="DG7" s="126"/>
      <c r="DH7" s="127"/>
      <c r="DI7" s="125"/>
      <c r="DJ7" s="126"/>
      <c r="DK7" s="126"/>
      <c r="DL7" s="126"/>
      <c r="DM7" s="126"/>
      <c r="DN7" s="126"/>
      <c r="DO7" s="126"/>
      <c r="DP7" s="127"/>
      <c r="DQ7" s="125"/>
      <c r="DR7" s="126"/>
      <c r="DS7" s="126"/>
      <c r="DT7" s="126"/>
      <c r="DU7" s="126"/>
      <c r="DV7" s="126"/>
      <c r="DW7" s="126"/>
      <c r="DX7" s="127"/>
      <c r="DY7" s="125"/>
      <c r="DZ7" s="126"/>
      <c r="EA7" s="126"/>
      <c r="EB7" s="126"/>
      <c r="EC7" s="126"/>
      <c r="ED7" s="126"/>
      <c r="EE7" s="126"/>
      <c r="EF7" s="126"/>
      <c r="EG7" s="126"/>
      <c r="EH7" s="127"/>
    </row>
    <row r="8" spans="1:167" ht="11.25" customHeight="1" x14ac:dyDescent="0.2">
      <c r="A8" s="156"/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O8" s="46"/>
      <c r="BZ8" s="128"/>
      <c r="CA8" s="129"/>
      <c r="CB8" s="129"/>
      <c r="CC8" s="129"/>
      <c r="CD8" s="129"/>
      <c r="CE8" s="129"/>
      <c r="CF8" s="129"/>
      <c r="CG8" s="129"/>
      <c r="CH8" s="129"/>
      <c r="CI8" s="130"/>
      <c r="CJ8" s="128"/>
      <c r="CK8" s="129"/>
      <c r="CL8" s="129"/>
      <c r="CM8" s="129"/>
      <c r="CN8" s="129"/>
      <c r="CO8" s="129"/>
      <c r="CP8" s="130"/>
      <c r="CQ8" s="128"/>
      <c r="CR8" s="129"/>
      <c r="CS8" s="129"/>
      <c r="CT8" s="129"/>
      <c r="CU8" s="129"/>
      <c r="CV8" s="129"/>
      <c r="CW8" s="129"/>
      <c r="CX8" s="129"/>
      <c r="CY8" s="130"/>
      <c r="CZ8" s="128"/>
      <c r="DA8" s="129"/>
      <c r="DB8" s="129"/>
      <c r="DC8" s="129"/>
      <c r="DD8" s="129"/>
      <c r="DE8" s="129"/>
      <c r="DF8" s="129"/>
      <c r="DG8" s="129"/>
      <c r="DH8" s="130"/>
      <c r="DI8" s="128"/>
      <c r="DJ8" s="129"/>
      <c r="DK8" s="129"/>
      <c r="DL8" s="129"/>
      <c r="DM8" s="129"/>
      <c r="DN8" s="129"/>
      <c r="DO8" s="129"/>
      <c r="DP8" s="130"/>
      <c r="DQ8" s="128"/>
      <c r="DR8" s="129"/>
      <c r="DS8" s="129"/>
      <c r="DT8" s="129"/>
      <c r="DU8" s="129"/>
      <c r="DV8" s="129"/>
      <c r="DW8" s="129"/>
      <c r="DX8" s="130"/>
      <c r="DY8" s="128"/>
      <c r="DZ8" s="129"/>
      <c r="EA8" s="129"/>
      <c r="EB8" s="129"/>
      <c r="EC8" s="129"/>
      <c r="ED8" s="129"/>
      <c r="EE8" s="129"/>
      <c r="EF8" s="129"/>
      <c r="EG8" s="129"/>
      <c r="EH8" s="130"/>
    </row>
    <row r="9" spans="1:167" ht="15" customHeight="1" x14ac:dyDescent="0.2">
      <c r="A9" s="136" t="s">
        <v>143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4"/>
      <c r="S9" s="134"/>
      <c r="T9" s="134"/>
      <c r="U9" s="134"/>
      <c r="V9" s="134"/>
      <c r="W9" s="134"/>
      <c r="X9" s="134"/>
      <c r="Y9" s="134"/>
      <c r="Z9" s="37" t="s">
        <v>144</v>
      </c>
      <c r="AG9" s="136" t="s">
        <v>145</v>
      </c>
      <c r="AH9" s="136"/>
      <c r="AI9" s="136"/>
      <c r="AJ9" s="136"/>
      <c r="AK9" s="136"/>
      <c r="AL9" s="136"/>
      <c r="AM9" s="136"/>
      <c r="AN9" s="136"/>
      <c r="AO9" s="136"/>
      <c r="AP9" s="136"/>
      <c r="AQ9" s="136"/>
      <c r="AR9" s="136"/>
      <c r="AS9" s="136"/>
      <c r="AT9" s="136"/>
      <c r="AU9" s="136"/>
      <c r="AV9" s="136"/>
      <c r="AW9" s="136"/>
      <c r="AX9" s="136"/>
      <c r="AY9" s="136"/>
      <c r="AZ9" s="136"/>
      <c r="BA9" s="136"/>
      <c r="BB9" s="134"/>
      <c r="BC9" s="134"/>
      <c r="BD9" s="134"/>
      <c r="BE9" s="134"/>
      <c r="BF9" s="37" t="s">
        <v>146</v>
      </c>
      <c r="BO9" s="46"/>
      <c r="BZ9" s="131">
        <v>1</v>
      </c>
      <c r="CA9" s="132"/>
      <c r="CB9" s="132"/>
      <c r="CC9" s="132"/>
      <c r="CD9" s="132"/>
      <c r="CE9" s="132"/>
      <c r="CF9" s="132"/>
      <c r="CG9" s="132"/>
      <c r="CH9" s="132"/>
      <c r="CI9" s="133"/>
      <c r="CJ9" s="131">
        <v>2</v>
      </c>
      <c r="CK9" s="132"/>
      <c r="CL9" s="132"/>
      <c r="CM9" s="132"/>
      <c r="CN9" s="132"/>
      <c r="CO9" s="132"/>
      <c r="CP9" s="133"/>
      <c r="CQ9" s="131">
        <v>3</v>
      </c>
      <c r="CR9" s="132"/>
      <c r="CS9" s="132"/>
      <c r="CT9" s="132"/>
      <c r="CU9" s="132"/>
      <c r="CV9" s="132"/>
      <c r="CW9" s="132"/>
      <c r="CX9" s="132"/>
      <c r="CY9" s="133"/>
      <c r="CZ9" s="131">
        <v>4</v>
      </c>
      <c r="DA9" s="132"/>
      <c r="DB9" s="132"/>
      <c r="DC9" s="132"/>
      <c r="DD9" s="132"/>
      <c r="DE9" s="132"/>
      <c r="DF9" s="132"/>
      <c r="DG9" s="132"/>
      <c r="DH9" s="133"/>
      <c r="DI9" s="131">
        <v>5</v>
      </c>
      <c r="DJ9" s="132"/>
      <c r="DK9" s="132"/>
      <c r="DL9" s="132"/>
      <c r="DM9" s="132"/>
      <c r="DN9" s="132"/>
      <c r="DO9" s="132"/>
      <c r="DP9" s="133"/>
      <c r="DQ9" s="131">
        <v>6</v>
      </c>
      <c r="DR9" s="132"/>
      <c r="DS9" s="132"/>
      <c r="DT9" s="132"/>
      <c r="DU9" s="132"/>
      <c r="DV9" s="132"/>
      <c r="DW9" s="132"/>
      <c r="DX9" s="133"/>
      <c r="DY9" s="131">
        <v>7</v>
      </c>
      <c r="DZ9" s="132"/>
      <c r="EA9" s="132"/>
      <c r="EB9" s="132"/>
      <c r="EC9" s="132"/>
      <c r="ED9" s="132"/>
      <c r="EE9" s="132"/>
      <c r="EF9" s="132"/>
      <c r="EG9" s="132"/>
      <c r="EH9" s="133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7" t="s">
        <v>160</v>
      </c>
      <c r="CA10" s="158"/>
      <c r="CB10" s="158"/>
      <c r="CC10" s="158"/>
      <c r="CD10" s="158"/>
      <c r="CE10" s="158"/>
      <c r="CF10" s="158"/>
      <c r="CG10" s="158"/>
      <c r="CH10" s="158"/>
      <c r="CI10" s="159"/>
      <c r="CJ10" s="160" t="s">
        <v>161</v>
      </c>
      <c r="CK10" s="161"/>
      <c r="CL10" s="161"/>
      <c r="CM10" s="161"/>
      <c r="CN10" s="161"/>
      <c r="CO10" s="161"/>
      <c r="CP10" s="162"/>
      <c r="CQ10" s="119"/>
      <c r="CR10" s="120"/>
      <c r="CS10" s="120"/>
      <c r="CT10" s="120"/>
      <c r="CU10" s="120"/>
      <c r="CV10" s="120"/>
      <c r="CW10" s="120"/>
      <c r="CX10" s="120"/>
      <c r="CY10" s="121"/>
      <c r="CZ10" s="119"/>
      <c r="DA10" s="120"/>
      <c r="DB10" s="120"/>
      <c r="DC10" s="120"/>
      <c r="DD10" s="120"/>
      <c r="DE10" s="120"/>
      <c r="DF10" s="120"/>
      <c r="DG10" s="120"/>
      <c r="DH10" s="121"/>
      <c r="DI10" s="119"/>
      <c r="DJ10" s="120"/>
      <c r="DK10" s="120"/>
      <c r="DL10" s="120"/>
      <c r="DM10" s="120"/>
      <c r="DN10" s="120"/>
      <c r="DO10" s="120"/>
      <c r="DP10" s="121"/>
      <c r="DQ10" s="119"/>
      <c r="DR10" s="120"/>
      <c r="DS10" s="120"/>
      <c r="DT10" s="120"/>
      <c r="DU10" s="120"/>
      <c r="DV10" s="120"/>
      <c r="DW10" s="120"/>
      <c r="DX10" s="121"/>
      <c r="DY10" s="119"/>
      <c r="DZ10" s="120"/>
      <c r="EA10" s="120"/>
      <c r="EB10" s="120"/>
      <c r="EC10" s="120"/>
      <c r="ED10" s="120"/>
      <c r="EE10" s="120"/>
      <c r="EF10" s="120"/>
      <c r="EG10" s="120"/>
      <c r="EH10" s="121"/>
    </row>
    <row r="11" spans="1:167" ht="18.75" customHeight="1" x14ac:dyDescent="0.2"/>
    <row r="12" spans="1:167" ht="21.75" customHeight="1" x14ac:dyDescent="0.2">
      <c r="C12" s="118" t="s">
        <v>162</v>
      </c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O13" s="122" t="s">
        <v>135</v>
      </c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4"/>
      <c r="BF13" s="122" t="s">
        <v>136</v>
      </c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4"/>
      <c r="CF13" s="122" t="s">
        <v>137</v>
      </c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4"/>
      <c r="CZ13" s="122" t="s">
        <v>138</v>
      </c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/>
      <c r="DO13" s="123"/>
      <c r="DP13" s="123"/>
      <c r="DQ13" s="124"/>
      <c r="DR13" s="122" t="s">
        <v>139</v>
      </c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/>
      <c r="EF13" s="123"/>
      <c r="EG13" s="123"/>
      <c r="EH13" s="124"/>
    </row>
    <row r="14" spans="1:167" ht="12" customHeight="1" x14ac:dyDescent="0.2">
      <c r="A14" s="44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O14" s="125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127"/>
      <c r="BF14" s="125"/>
      <c r="BG14" s="126"/>
      <c r="BH14" s="126"/>
      <c r="BI14" s="126"/>
      <c r="BJ14" s="126"/>
      <c r="BK14" s="126"/>
      <c r="BL14" s="126"/>
      <c r="BM14" s="126"/>
      <c r="BN14" s="126"/>
      <c r="BO14" s="126"/>
      <c r="BP14" s="126"/>
      <c r="BQ14" s="126"/>
      <c r="BR14" s="126"/>
      <c r="BS14" s="126"/>
      <c r="BT14" s="126"/>
      <c r="BU14" s="126"/>
      <c r="BV14" s="126"/>
      <c r="BW14" s="126"/>
      <c r="BX14" s="126"/>
      <c r="BY14" s="126"/>
      <c r="BZ14" s="126"/>
      <c r="CA14" s="126"/>
      <c r="CB14" s="126"/>
      <c r="CC14" s="126"/>
      <c r="CD14" s="126"/>
      <c r="CE14" s="127"/>
      <c r="CF14" s="125"/>
      <c r="CG14" s="126"/>
      <c r="CH14" s="126"/>
      <c r="CI14" s="126"/>
      <c r="CJ14" s="126"/>
      <c r="CK14" s="126"/>
      <c r="CL14" s="126"/>
      <c r="CM14" s="126"/>
      <c r="CN14" s="126"/>
      <c r="CO14" s="126"/>
      <c r="CP14" s="126"/>
      <c r="CQ14" s="126"/>
      <c r="CR14" s="126"/>
      <c r="CS14" s="126"/>
      <c r="CT14" s="126"/>
      <c r="CU14" s="126"/>
      <c r="CV14" s="126"/>
      <c r="CW14" s="126"/>
      <c r="CX14" s="126"/>
      <c r="CY14" s="127"/>
      <c r="CZ14" s="125"/>
      <c r="DA14" s="126"/>
      <c r="DB14" s="126"/>
      <c r="DC14" s="126"/>
      <c r="DD14" s="126"/>
      <c r="DE14" s="126"/>
      <c r="DF14" s="126"/>
      <c r="DG14" s="126"/>
      <c r="DH14" s="126"/>
      <c r="DI14" s="126"/>
      <c r="DJ14" s="126"/>
      <c r="DK14" s="126"/>
      <c r="DL14" s="126"/>
      <c r="DM14" s="126"/>
      <c r="DN14" s="126"/>
      <c r="DO14" s="126"/>
      <c r="DP14" s="126"/>
      <c r="DQ14" s="127"/>
      <c r="DR14" s="125"/>
      <c r="DS14" s="126"/>
      <c r="DT14" s="126"/>
      <c r="DU14" s="126"/>
      <c r="DV14" s="126"/>
      <c r="DW14" s="126"/>
      <c r="DX14" s="126"/>
      <c r="DY14" s="126"/>
      <c r="DZ14" s="126"/>
      <c r="EA14" s="126"/>
      <c r="EB14" s="126"/>
      <c r="EC14" s="126"/>
      <c r="ED14" s="126"/>
      <c r="EE14" s="126"/>
      <c r="EF14" s="126"/>
      <c r="EG14" s="126"/>
      <c r="EH14" s="127"/>
    </row>
    <row r="15" spans="1:167" ht="18" customHeight="1" x14ac:dyDescent="0.2">
      <c r="A15" s="44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O15" s="125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127"/>
      <c r="BF15" s="125"/>
      <c r="BG15" s="126"/>
      <c r="BH15" s="126"/>
      <c r="BI15" s="126"/>
      <c r="BJ15" s="126"/>
      <c r="BK15" s="126"/>
      <c r="BL15" s="126"/>
      <c r="BM15" s="126"/>
      <c r="BN15" s="126"/>
      <c r="BO15" s="126"/>
      <c r="BP15" s="126"/>
      <c r="BQ15" s="126"/>
      <c r="BR15" s="126"/>
      <c r="BS15" s="126"/>
      <c r="BT15" s="126"/>
      <c r="BU15" s="126"/>
      <c r="BV15" s="126"/>
      <c r="BW15" s="126"/>
      <c r="BX15" s="126"/>
      <c r="BY15" s="126"/>
      <c r="BZ15" s="126"/>
      <c r="CA15" s="126"/>
      <c r="CB15" s="126"/>
      <c r="CC15" s="126"/>
      <c r="CD15" s="126"/>
      <c r="CE15" s="127"/>
      <c r="CF15" s="125"/>
      <c r="CG15" s="126"/>
      <c r="CH15" s="126"/>
      <c r="CI15" s="126"/>
      <c r="CJ15" s="126"/>
      <c r="CK15" s="126"/>
      <c r="CL15" s="126"/>
      <c r="CM15" s="126"/>
      <c r="CN15" s="126"/>
      <c r="CO15" s="126"/>
      <c r="CP15" s="126"/>
      <c r="CQ15" s="126"/>
      <c r="CR15" s="126"/>
      <c r="CS15" s="126"/>
      <c r="CT15" s="126"/>
      <c r="CU15" s="126"/>
      <c r="CV15" s="126"/>
      <c r="CW15" s="126"/>
      <c r="CX15" s="126"/>
      <c r="CY15" s="127"/>
      <c r="CZ15" s="125"/>
      <c r="DA15" s="126"/>
      <c r="DB15" s="126"/>
      <c r="DC15" s="126"/>
      <c r="DD15" s="126"/>
      <c r="DE15" s="126"/>
      <c r="DF15" s="126"/>
      <c r="DG15" s="126"/>
      <c r="DH15" s="126"/>
      <c r="DI15" s="126"/>
      <c r="DJ15" s="126"/>
      <c r="DK15" s="126"/>
      <c r="DL15" s="126"/>
      <c r="DM15" s="126"/>
      <c r="DN15" s="126"/>
      <c r="DO15" s="126"/>
      <c r="DP15" s="126"/>
      <c r="DQ15" s="127"/>
      <c r="DR15" s="125"/>
      <c r="DS15" s="126"/>
      <c r="DT15" s="126"/>
      <c r="DU15" s="126"/>
      <c r="DV15" s="126"/>
      <c r="DW15" s="126"/>
      <c r="DX15" s="126"/>
      <c r="DY15" s="126"/>
      <c r="DZ15" s="126"/>
      <c r="EA15" s="126"/>
      <c r="EB15" s="126"/>
      <c r="EC15" s="126"/>
      <c r="ED15" s="126"/>
      <c r="EE15" s="126"/>
      <c r="EF15" s="126"/>
      <c r="EG15" s="126"/>
      <c r="EH15" s="127"/>
    </row>
    <row r="16" spans="1:167" ht="15" customHeight="1" x14ac:dyDescent="0.2"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O16" s="138"/>
      <c r="AP16" s="139"/>
      <c r="AQ16" s="139"/>
      <c r="AR16" s="139"/>
      <c r="AS16" s="139"/>
      <c r="AT16" s="139"/>
      <c r="AU16" s="139"/>
      <c r="AV16" s="139"/>
      <c r="AW16" s="139"/>
      <c r="AX16" s="139"/>
      <c r="AY16" s="139"/>
      <c r="AZ16" s="139"/>
      <c r="BA16" s="139"/>
      <c r="BB16" s="139"/>
      <c r="BC16" s="139"/>
      <c r="BD16" s="139"/>
      <c r="BE16" s="140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4"/>
      <c r="CG16" s="145"/>
      <c r="CH16" s="145"/>
      <c r="CI16" s="145"/>
      <c r="CJ16" s="145"/>
      <c r="CK16" s="145"/>
      <c r="CL16" s="145"/>
      <c r="CM16" s="145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6"/>
      <c r="CZ16" s="138"/>
      <c r="DA16" s="139"/>
      <c r="DB16" s="139"/>
      <c r="DC16" s="139"/>
      <c r="DD16" s="139"/>
      <c r="DE16" s="139"/>
      <c r="DF16" s="139"/>
      <c r="DG16" s="139"/>
      <c r="DH16" s="139"/>
      <c r="DI16" s="139"/>
      <c r="DJ16" s="139"/>
      <c r="DK16" s="139"/>
      <c r="DL16" s="139"/>
      <c r="DM16" s="139"/>
      <c r="DN16" s="139"/>
      <c r="DO16" s="139"/>
      <c r="DP16" s="139"/>
      <c r="DQ16" s="140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2"/>
      <c r="DB19" s="142"/>
      <c r="DC19" s="142"/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F19" s="36"/>
      <c r="EG19" s="36"/>
      <c r="EH19" s="42"/>
    </row>
    <row r="20" spans="3:138" ht="11.1" customHeight="1" x14ac:dyDescent="0.2"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7" t="s">
        <v>149</v>
      </c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DA22" s="43" t="s">
        <v>150</v>
      </c>
      <c r="DO22" s="141"/>
      <c r="DP22" s="141"/>
      <c r="DQ22" s="141"/>
      <c r="DR22" s="141"/>
      <c r="DS22" s="141"/>
      <c r="DT22" s="141"/>
      <c r="DU22" s="141"/>
      <c r="DV22" s="141"/>
      <c r="DW22" s="141"/>
      <c r="DX22" s="141"/>
      <c r="DY22" s="141"/>
      <c r="DZ22" s="141"/>
      <c r="EA22" s="141"/>
      <c r="EB22" s="141"/>
      <c r="EC22" s="141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terms/"/>
    <ds:schemaRef ds:uri="http://purl.org/dc/elements/1.1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2023-02-22T08:22:35Z</cp:lastPrinted>
  <dcterms:created xsi:type="dcterms:W3CDTF">2012-02-27T08:19:11Z</dcterms:created>
  <dcterms:modified xsi:type="dcterms:W3CDTF">2023-04-04T14:46:09Z</dcterms:modified>
</cp:coreProperties>
</file>