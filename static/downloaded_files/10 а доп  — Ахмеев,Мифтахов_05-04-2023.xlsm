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4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268" l="1"/>
  <c r="G4" i="268"/>
  <c r="H4" i="268"/>
  <c r="M4" i="268"/>
  <c r="F5" i="268"/>
  <c r="G5" i="268"/>
  <c r="H5" i="268"/>
  <c r="M5" i="268"/>
  <c r="F6" i="268"/>
  <c r="G6" i="268"/>
  <c r="H6" i="268"/>
  <c r="M6" i="268"/>
  <c r="F7" i="268"/>
  <c r="G7" i="268"/>
  <c r="H7" i="268"/>
  <c r="M7" i="268"/>
  <c r="F8" i="268"/>
  <c r="G8" i="268"/>
  <c r="H8" i="268"/>
  <c r="M8" i="268"/>
  <c r="F9" i="268"/>
  <c r="G9" i="268"/>
  <c r="H9" i="268"/>
  <c r="M9" i="268"/>
  <c r="F10" i="268"/>
  <c r="G10" i="268"/>
  <c r="H10" i="268"/>
  <c r="M10" i="268"/>
  <c r="F11" i="268"/>
  <c r="G11" i="268"/>
  <c r="H11" i="268"/>
  <c r="M11" i="268"/>
  <c r="F12" i="268"/>
  <c r="G12" i="268"/>
  <c r="H12" i="268"/>
  <c r="M12" i="268"/>
  <c r="F13" i="268"/>
  <c r="G13" i="268"/>
  <c r="H13" i="268"/>
  <c r="M13" i="268"/>
  <c r="F14" i="268"/>
  <c r="G14" i="268"/>
  <c r="H14" i="268"/>
  <c r="M14" i="268"/>
  <c r="F15" i="268"/>
  <c r="G15" i="268"/>
  <c r="H15" i="268"/>
  <c r="M15" i="268"/>
  <c r="F16" i="268"/>
  <c r="G16" i="268"/>
  <c r="H16" i="268"/>
  <c r="M16" i="268"/>
  <c r="F17" i="268"/>
  <c r="G17" i="268"/>
  <c r="H17" i="268"/>
  <c r="M17" i="268"/>
  <c r="C654" i="284" l="1"/>
  <c r="C667" i="284" s="1"/>
  <c r="C652" i="284"/>
  <c r="C665" i="284" s="1"/>
  <c r="C650" i="284"/>
  <c r="C663" i="284" s="1"/>
  <c r="C638" i="284"/>
  <c r="C627" i="284"/>
  <c r="C640" i="284" s="1"/>
  <c r="C625" i="284"/>
  <c r="C623" i="284"/>
  <c r="C636" i="284" s="1"/>
  <c r="C600" i="284"/>
  <c r="C613" i="284" s="1"/>
  <c r="C598" i="284"/>
  <c r="C611" i="284" s="1"/>
  <c r="C596" i="284"/>
  <c r="C609" i="284" s="1"/>
  <c r="C584" i="284"/>
  <c r="C573" i="284"/>
  <c r="C586" i="284" s="1"/>
  <c r="C571" i="284"/>
  <c r="C569" i="284"/>
  <c r="C582" i="284" s="1"/>
  <c r="C546" i="284"/>
  <c r="C559" i="284" s="1"/>
  <c r="C544" i="284"/>
  <c r="C557" i="284" s="1"/>
  <c r="C542" i="284"/>
  <c r="C555" i="284" s="1"/>
  <c r="C530" i="284"/>
  <c r="C519" i="284"/>
  <c r="C532" i="284" s="1"/>
  <c r="C517" i="284"/>
  <c r="C515" i="284"/>
  <c r="C528" i="284" s="1"/>
  <c r="C492" i="284"/>
  <c r="C505" i="284" s="1"/>
  <c r="C490" i="284"/>
  <c r="C503" i="284" s="1"/>
  <c r="C488" i="284"/>
  <c r="C501" i="284" s="1"/>
  <c r="C476" i="284"/>
  <c r="C465" i="284"/>
  <c r="C478" i="284" s="1"/>
  <c r="C463" i="284"/>
  <c r="C461" i="284"/>
  <c r="C474" i="284" s="1"/>
  <c r="C447" i="284"/>
  <c r="C438" i="284"/>
  <c r="C451" i="284" s="1"/>
  <c r="C436" i="284"/>
  <c r="C449" i="284" s="1"/>
  <c r="C434" i="284"/>
  <c r="C424" i="284"/>
  <c r="C422" i="284"/>
  <c r="C411" i="284"/>
  <c r="C409" i="284"/>
  <c r="C407" i="284"/>
  <c r="C420" i="284" s="1"/>
  <c r="C393" i="284"/>
  <c r="C384" i="284"/>
  <c r="C397" i="284" s="1"/>
  <c r="C382" i="284"/>
  <c r="C395" i="284" s="1"/>
  <c r="C380" i="284"/>
  <c r="C370" i="284"/>
  <c r="C368" i="284"/>
  <c r="C357" i="284"/>
  <c r="C355" i="284"/>
  <c r="C353" i="284"/>
  <c r="C366" i="284" s="1"/>
  <c r="C339" i="284"/>
  <c r="C330" i="284"/>
  <c r="C343" i="284" s="1"/>
  <c r="C328" i="284"/>
  <c r="C341" i="284" s="1"/>
  <c r="C326" i="284"/>
  <c r="C316" i="284"/>
  <c r="C314" i="284"/>
  <c r="C303" i="284"/>
  <c r="C301" i="284"/>
  <c r="C299" i="284"/>
  <c r="C312" i="284" s="1"/>
  <c r="C285" i="284"/>
  <c r="C276" i="284"/>
  <c r="C289" i="284" s="1"/>
  <c r="C274" i="284"/>
  <c r="C287" i="284" s="1"/>
  <c r="C272" i="284"/>
  <c r="C262" i="284"/>
  <c r="C260" i="284"/>
  <c r="C249" i="284"/>
  <c r="C247" i="284"/>
  <c r="C245" i="284"/>
  <c r="C258" i="284" s="1"/>
  <c r="C231" i="284"/>
  <c r="C222" i="284"/>
  <c r="C235" i="284" s="1"/>
  <c r="C220" i="284"/>
  <c r="C233" i="284" s="1"/>
  <c r="C218" i="284"/>
  <c r="C208" i="284"/>
  <c r="C206" i="284"/>
  <c r="C195" i="284"/>
  <c r="C193" i="284"/>
  <c r="C191" i="284"/>
  <c r="C204" i="284" s="1"/>
  <c r="C177" i="284"/>
  <c r="C168" i="284"/>
  <c r="C181" i="284" s="1"/>
  <c r="C166" i="284"/>
  <c r="C179" i="284" s="1"/>
  <c r="C164" i="284"/>
  <c r="C154" i="284"/>
  <c r="C152" i="284"/>
  <c r="C141" i="284"/>
  <c r="C139" i="284"/>
  <c r="C137" i="284"/>
  <c r="C150" i="284" s="1"/>
  <c r="C123" i="284"/>
  <c r="C114" i="284"/>
  <c r="C127" i="284" s="1"/>
  <c r="C112" i="284"/>
  <c r="C125" i="284" s="1"/>
  <c r="C110" i="284"/>
  <c r="C100" i="284"/>
  <c r="C98" i="284"/>
  <c r="C87" i="284"/>
  <c r="C85" i="284"/>
  <c r="C83" i="284"/>
  <c r="C96" i="284" s="1"/>
  <c r="C69" i="284"/>
  <c r="C60" i="284"/>
  <c r="C73" i="284" s="1"/>
  <c r="C58" i="284"/>
  <c r="C71" i="284" s="1"/>
  <c r="C56" i="284"/>
  <c r="C46" i="284"/>
  <c r="C44" i="284"/>
  <c r="C33" i="284"/>
  <c r="C31" i="284"/>
  <c r="C29" i="284"/>
  <c r="C42" i="284" s="1"/>
  <c r="C15" i="284"/>
  <c r="C6" i="284"/>
  <c r="C19" i="284" s="1"/>
  <c r="C4" i="284"/>
  <c r="C17" i="284" s="1"/>
  <c r="C2" i="284"/>
  <c r="H2" i="268" l="1"/>
  <c r="H3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F2" i="268"/>
  <c r="F3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G1297" i="268" l="1"/>
  <c r="G1296" i="268"/>
  <c r="G1295" i="268"/>
  <c r="G1294" i="268"/>
  <c r="G1293" i="268"/>
  <c r="G1292" i="268"/>
  <c r="G1291" i="268"/>
  <c r="G1290" i="268"/>
  <c r="G1289" i="268"/>
  <c r="G1288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<sst xmlns="http://schemas.openxmlformats.org/spreadsheetml/2006/main" count="2463" uniqueCount="467">
  <si>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</si>
  <si>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</si>
  <si>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</si>
  <si>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</si>
  <si>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</si>
  <si>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</si>
  <si>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</si>
  <si>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</si>
  <si>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</si>
  <si>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</si>
  <si>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</si>
  <si>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</si>
  <si>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</si>
  <si>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</si>
  <si>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</si>
  <si>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</si>
  <si>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</si>
  <si>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</si>
  <si>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</si>
  <si>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</si>
  <si>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</si>
  <si>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</si>
  <si>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</si>
  <si>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</si>
  <si>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</si>
  <si>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</si>
  <si>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</si>
  <si>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</si>
  <si>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</si>
  <si>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</si>
  <si>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</si>
  <si>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</si>
  <si>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</si>
  <si>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</si>
  <si>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</si>
  <si>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</si>
  <si>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</si>
  <si>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</si>
  <si>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</si>
  <si>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</si>
  <si>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</si>
  <si>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</si>
  <si>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</si>
  <si>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</si>
  <si>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</si>
  <si>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</si>
  <si>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</si>
  <si>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</si>
  <si>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</si>
  <si>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</si>
  <si>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</si>
  <si>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</si>
  <si>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</si>
  <si>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</si>
  <si>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</si>
  <si>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</si>
  <si>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</si>
  <si>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</si>
  <si>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</si>
  <si>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</si>
  <si>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</si>
  <si>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</si>
  <si>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</si>
  <si>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</si>
  <si>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</si>
  <si>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</si>
  <si>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</si>
  <si>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</si>
  <si>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</si>
  <si>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</si>
  <si>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</si>
  <si>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</si>
  <si>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</si>
  <si>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</si>
  <si>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</si>
  <si>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</si>
  <si>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</si>
  <si>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</si>
  <si>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</si>
  <si>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</si>
  <si>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</si>
  <si>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</si>
  <si>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</si>
  <si>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</si>
  <si>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</si>
  <si>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</si>
  <si>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</si>
  <si>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</si>
  <si>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</si>
  <si>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</si>
  <si>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</si>
  <si>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</si>
  <si>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</si>
  <si>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</si>
  <si>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</si>
  <si>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</si>
  <si>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</si>
  <si>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</si>
  <si>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</si>
  <si>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</si>
  <si>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</si>
  <si>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</si>
  <si>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</si>
  <si>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</si>
  <si>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</si>
  <si>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</si>
  <si>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</si>
  <si>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</si>
  <si>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</si>
  <si>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</si>
  <si>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</si>
  <si>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</si>
  <si>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</si>
  <si>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</si>
  <si>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</si>
  <si>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</si>
  <si>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</si>
  <si>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</si>
  <si>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</si>
  <si>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</si>
  <si>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</si>
  <si>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</si>
  <si>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</si>
  <si>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</si>
  <si>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</si>
  <si>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</si>
  <si>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</si>
  <si>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</si>
  <si>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</si>
  <si>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</si>
  <si>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</si>
  <si>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</si>
  <si>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</si>
  <si>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</si>
  <si>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</si>
  <si>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</si>
  <si>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</si>
  <si>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</si>
  <si>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</si>
  <si>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</si>
  <si>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</si>
  <si>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</si>
  <si>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</si>
  <si>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</si>
  <si>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</si>
  <si>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</si>
  <si>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</si>
  <si>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</si>
  <si>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</si>
  <si>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</si>
  <si>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</si>
  <si>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</si>
  <si>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</si>
  <si>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</si>
  <si>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</si>
  <si>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</si>
  <si>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</si>
  <si>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</si>
  <si>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</si>
  <si>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</si>
  <si>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</si>
  <si>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</si>
  <si>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</si>
  <si>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</si>
  <si>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</si>
  <si>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</si>
  <si>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</si>
  <si>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</si>
  <si>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</si>
  <si>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</si>
  <si>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</si>
  <si>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</si>
  <si>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</si>
  <si>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</si>
  <si>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</si>
  <si>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</si>
  <si>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</si>
  <si>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</si>
  <si>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</si>
  <si>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</si>
  <si>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</si>
  <si>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</si>
  <si>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</si>
  <si>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</si>
  <si>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</si>
  <si>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</si>
  <si>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</si>
  <si>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</si>
  <si>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</si>
  <si>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</si>
  <si>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</si>
  <si>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</si>
  <si>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</si>
  <si>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</si>
  <si>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</si>
  <si>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</si>
  <si>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</si>
  <si>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</si>
  <si>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</si>
  <si>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</si>
  <si>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</si>
  <si>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</si>
  <si>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</si>
  <si>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</si>
  <si>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</si>
  <si>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</si>
  <si>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</si>
  <si>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</si>
  <si>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</si>
  <si>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</si>
  <si>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</si>
  <si>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</si>
  <si>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</si>
  <si>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</si>
  <si>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</si>
  <si>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</si>
  <si>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</si>
  <si>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</si>
  <si>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</si>
  <si>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</si>
  <si>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</si>
  <si>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</si>
  <si>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</si>
  <si>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</si>
  <si>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</si>
  <si>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</si>
  <si>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</si>
  <si>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</si>
  <si>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</si>
  <si>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</si>
  <si>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</si>
  <si>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</si>
  <si>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</si>
  <si>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</si>
  <si>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</si>
  <si>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</si>
  <si>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</si>
  <si>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</si>
  <si>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</si>
  <si>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</si>
  <si>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</si>
  <si>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</si>
  <si>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</si>
  <si>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</si>
  <si>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</si>
  <si>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</si>
  <si>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</si>
  <si>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</si>
  <si>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</si>
  <si>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</si>
  <si>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</si>
  <si>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</si>
  <si>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</si>
  <si>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</si>
  <si>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</si>
  <si>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</si>
  <si>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</si>
  <si>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</si>
  <si>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</si>
  <si>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</si>
  <si>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</si>
  <si>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</si>
  <si>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</si>
  <si>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</si>
  <si>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</si>
  <si>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</si>
  <si>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</si>
  <si>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</si>
  <si>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</si>
  <si>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</si>
  <si>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</si>
  <si>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</si>
  <si>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</si>
  <si>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</si>
  <si>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</si>
  <si>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</si>
  <si>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</si>
  <si>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</si>
  <si>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</si>
  <si>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</si>
  <si>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</si>
  <si>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</si>
  <si>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</si>
  <si>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</si>
  <si>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</si>
  <si>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</si>
  <si>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</si>
  <si>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</si>
  <si>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</si>
  <si>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</si>
  <si>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</si>
  <si>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</si>
  <si>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</si>
  <si>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</si>
  <si>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</si>
  <si>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</si>
  <si>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</si>
  <si>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</si>
  <si>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</si>
  <si>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</si>
  <si>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</si>
  <si>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</si>
  <si>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</si>
  <si>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</si>
  <si>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</si>
  <si>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</si>
  <si>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</si>
  <si>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</si>
  <si>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</si>
  <si>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</si>
  <si>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</si>
  <si>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</si>
  <si>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</si>
  <si>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</si>
  <si>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</si>
  <si>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</si>
  <si>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</si>
  <si>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</si>
  <si>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</si>
  <si>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</si>
  <si>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</si>
  <si>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</si>
  <si>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</si>
  <si>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</si>
  <si>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</si>
  <si>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</si>
  <si>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</si>
  <si>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</si>
  <si>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</si>
  <si>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</si>
  <si>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</si>
  <si>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</si>
  <si>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</si>
  <si>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</si>
  <si>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</si>
  <si>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</si>
  <si>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</si>
  <si>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</si>
  <si>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</si>
  <si>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</si>
  <si>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</si>
  <si>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</si>
  <si>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</si>
  <si>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</si>
  <si>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</si>
  <si>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</si>
  <si>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</si>
  <si>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</si>
  <si>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</si>
  <si>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</si>
  <si>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</si>
  <si>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</si>
  <si>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</si>
  <si>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</si>
  <si>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</si>
  <si>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</si>
  <si>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</si>
  <si>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</si>
  <si>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</si>
  <si>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</si>
  <si>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</si>
  <si>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</si>
  <si>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</si>
  <si>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</si>
  <si>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</si>
  <si>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</si>
  <si>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</si>
  <si>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</si>
  <si>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</si>
  <si>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</si>
  <si>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</si>
  <si>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</si>
  <si>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</si>
  <si>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</si>
  <si>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</si>
  <si>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</si>
  <si>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</si>
  <si>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</si>
  <si>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</si>
  <si>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</si>
  <si>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</si>
  <si>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</si>
  <si>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</si>
  <si>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</si>
  <si>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</si>
  <si>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</si>
  <si>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</si>
  <si>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</si>
  <si>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</si>
  <si>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</si>
  <si>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</si>
  <si>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</si>
  <si>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</si>
  <si>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</si>
  <si>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</si>
  <si>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</si>
  <si>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</si>
  <si>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10а доп             </t>
  </si>
  <si>
    <t xml:space="preserve">00305 </t>
  </si>
  <si>
    <t xml:space="preserve">Ахмеев Карим Маратович                            </t>
  </si>
  <si>
    <t>000710</t>
  </si>
  <si>
    <t xml:space="preserve">Мифтахов Амир Радикович                           </t>
  </si>
  <si>
    <t xml:space="preserve">00321 </t>
  </si>
  <si>
    <t xml:space="preserve">Нереков Глеб Петрович                             </t>
  </si>
  <si>
    <t xml:space="preserve">00322 </t>
  </si>
  <si>
    <t xml:space="preserve">Низамов Амир Мулланурович                         </t>
  </si>
  <si>
    <t xml:space="preserve">00336 </t>
  </si>
  <si>
    <t xml:space="preserve">Сарачоглу Бера                                    </t>
  </si>
  <si>
    <t xml:space="preserve">00324 </t>
  </si>
  <si>
    <t xml:space="preserve">Саттаров Рузаль Равилевич                         </t>
  </si>
  <si>
    <t xml:space="preserve">00325 </t>
  </si>
  <si>
    <t xml:space="preserve">Сафин Азар Айратович                              </t>
  </si>
  <si>
    <t>000656</t>
  </si>
  <si>
    <t xml:space="preserve">Сергеев Арсений Евгеньевич                        </t>
  </si>
  <si>
    <t xml:space="preserve">00327 </t>
  </si>
  <si>
    <t xml:space="preserve">Сулейманов Равиль Ильфатович                      </t>
  </si>
  <si>
    <t xml:space="preserve">00341 </t>
  </si>
  <si>
    <t xml:space="preserve">Хайруллин Карим Булатович                         </t>
  </si>
  <si>
    <t xml:space="preserve">00342 </t>
  </si>
  <si>
    <t xml:space="preserve">Хакимов Азат Ильнурович                           </t>
  </si>
  <si>
    <t xml:space="preserve">00344 </t>
  </si>
  <si>
    <t xml:space="preserve">Шагимарданов Амир Айдарович          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</si>
  <si>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</si>
  <si>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</si>
  <si>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</si>
  <si>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</si>
  <si>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00305</t>
  </si>
  <si>
    <t>ЛС: 00328; ФИО обучающегося: Аляутдинов Карим Ильдарович                       ; Назначение: 10а доп февр; КБК: 82100000000000000131; ОКТМО: 92701000</t>
  </si>
  <si>
    <t>Сумма: 11165 руб. 00 коп.</t>
  </si>
  <si>
    <t>ЛС: 00305; ФИО обучающегося: Ахмеев Карим Маратович                            ; Назначение: 10а доп февр; КБК: 82100000000000000131; ОКТМО: 92701000</t>
  </si>
  <si>
    <t>Сумма: 525 руб. 00 коп.</t>
  </si>
  <si>
    <t>ЛС: 00306; ФИО обучающегося: Ахметов Алим Альбертович                          ; Назначение: 10а доп февр; КБК: 82100000000000000131; ОКТМО: 92701000</t>
  </si>
  <si>
    <t>ЛС: 00307; ФИО обучающегося: Ахметов Амир Ильдарович                           ; Назначение: 10а доп февр; КБК: 82100000000000000131; ОКТМО: 92701000</t>
  </si>
  <si>
    <t>Сумма: 11164 руб. 95 коп.</t>
  </si>
  <si>
    <t>ЛС: 00308; ФИО обучающегося: Ахметшин Гаяз Алмазович                           ; Назначение: 10а доп февр; КБК: 82100000000000000131; ОКТМО: 92701000</t>
  </si>
  <si>
    <t>Сумма: 9975 руб. 00 коп.</t>
  </si>
  <si>
    <t>ЛС: 00309; ФИО обучающегося: Ашрапов Ильяс Атласович                           ; Назначение: 10а доп февр; КБК: 82100000000000000131; ОКТМО: 92701000</t>
  </si>
  <si>
    <t>ЛС: 00311; ФИО обучающегося: Галимов Данис Ленарович                           ; Назначение: 10а доп февр; КБК: 82100000000000000131; ОКТМО: 92701000</t>
  </si>
  <si>
    <t>ЛС: 00312; ФИО обучающегося: Гарипов Вильдан Фидаилевич                        ; Назначение: 10а доп февр; КБК: 82100000000000000131; ОКТМО: 92701000</t>
  </si>
  <si>
    <t>ЛС: 00313; ФИО обучающегося: Гарифуллин Амир Айдарович                         ; Назначение: 10а доп февр; КБК: 82100000000000000131; ОКТМО: 92701000</t>
  </si>
  <si>
    <t>ЛС: 00314; ФИО обучающегося: Гафиятов Карим Ренатович                          ; Назначение: 10а доп февр; КБК: 82100000000000000131; ОКТМО: 92701000</t>
  </si>
  <si>
    <t>ЛС: 00319; ФИО обучающегося: Иксанов Айдар Алмазович                           ; Назначение: 10а доп февр; КБК: 82100000000000000131; ОКТМО: 92701000</t>
  </si>
  <si>
    <t>Сумма: 14700 руб. 00 коп.</t>
  </si>
  <si>
    <t>ЛС: 000710; ФИО обучающегося: Мифтахов Амир Радикович                           ; Назначение: 10а доп февр; КБК: 82100000000000000131; ОКТМО: 92701000</t>
  </si>
  <si>
    <t>Сумма: 12075 руб. 00 коп.</t>
  </si>
  <si>
    <t>ЛС: 00321; ФИО обучающегося: Нереков Глеб Петрович                             ; Назначение: 10а доп февр; КБК: 82100000000000000131; ОКТМО: 92701000</t>
  </si>
  <si>
    <t>Сумма: 262 руб. 65 коп.</t>
  </si>
  <si>
    <t>ЛС: 00322; ФИО обучающегося: Низамов Амир Мулланурович                         ; Назначение: 10а доп февр; КБК: 82100000000000000131; ОКТМО: 92701000</t>
  </si>
  <si>
    <t>ЛС: 00336; ФИО обучающегося: Сарачоглу Бера                                    ; Назначение: 10а доп февр; КБК: 82100000000000000131; ОКТМО: 92701000</t>
  </si>
  <si>
    <t>ЛС: 00324; ФИО обучающегося: Саттаров Рузаль Равилевич                         ; Назначение: 10а доп февр; КБК: 82100000000000000131; ОКТМО: 92701000</t>
  </si>
  <si>
    <t>ЛС: 00325; ФИО обучающегося: Сафин Азар Айратович                              ; Назначение: 10а доп февр; КБК: 82100000000000000131; ОКТМО: 92701000</t>
  </si>
  <si>
    <t>ЛС: 000656; ФИО обучающегося: Сергеев Арсений Евгеньевич                        ; Назначение: 10а доп февр; КБК: 82100000000000000131; ОКТМО: 92701000</t>
  </si>
  <si>
    <t>ЛС: 00327; ФИО обучающегося: Сулейманов Равиль Ильфатович                      ; Назначение: 10а доп февр; КБК: 82100000000000000131; ОКТМО: 92701000</t>
  </si>
  <si>
    <t>Сумма: 7350 руб. 00 коп.</t>
  </si>
  <si>
    <t>ЛС: 00341; ФИО обучающегося: Хайруллин Карим Булатович                         ; Назначение: 10а доп февр; КБК: 82100000000000000131; ОКТМО: 92701000</t>
  </si>
  <si>
    <t>Сумма: 262 руб. 50 коп.</t>
  </si>
  <si>
    <t>ЛС: 00342; ФИО обучающегося: Хакимов Азат Ильнурович                           ; Назначение: 10а доп февр; КБК: 82100000000000000131; ОКТМО: 92701000</t>
  </si>
  <si>
    <t>ЛС: 00343; ФИО обучающегося: Хафизов Рустам Наилевич                           ; Назначение: 10а доп февр; КБК: 82100000000000000131; ОКТМО: 92701000</t>
  </si>
  <si>
    <t>Сумма: 522 руб. 00 коп.</t>
  </si>
  <si>
    <t>ЛС: 00344; ФИО обучающегося: Шагимарданов Амир Айдарович                       ; Назначение: 10а доп февр; КБК: 82100000000000000131; ОКТМО: 92701000</t>
  </si>
  <si>
    <t>ЛС: 00345; ФИО обучающегося: Шаймарданов Айрат Ильшатович                      ; Назначение: 10а доп февр; КБК: 82100000000000000131; ОКТМО: 92701000</t>
  </si>
  <si>
    <t>Сумма: 11164 руб. 58 коп.</t>
  </si>
  <si>
    <t>ЛС: 00347; ФИО обучающегося: Юсубов Мухаммад Робилевич                         ; Назначение: 10а доп февр; КБК: 82100000000000000131; ОКТМО: 92701000</t>
  </si>
  <si>
    <t xml:space="preserve">00343 </t>
  </si>
  <si>
    <t xml:space="preserve">Хафизов Рустам Наилевич                           </t>
  </si>
  <si>
    <t>апрель</t>
  </si>
  <si>
    <t>10а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</si>
</sst>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4" fillId="0" borderId="0" xfId="0" applyFont="1" applyAlignment="1">
      <alignment horizontal="center"/>
    </xf>
    <xf numFmtId="49" fontId="34" fillId="0" borderId="0" xfId="0" applyNumberFormat="1" applyFont="1" applyAlignment="1">
      <alignment horizontal="center"/>
    </xf>
    <xf numFmtId="49" fontId="34" fillId="0" borderId="0" xfId="0" applyNumberFormat="1" applyFont="1" applyAlignment="1" applyProtection="1">
      <alignment horizontal="center" vertical="center" wrapText="1"/>
      <protection locked="0"/>
    </xf>
    <xf numFmtId="49" fontId="34" fillId="0" borderId="0" xfId="0" applyNumberFormat="1" applyFont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left"/>
    </xf>
    <xf numFmtId="49" fontId="0" fillId="0" borderId="0" xfId="0" applyNumberFormat="1"/>
    <xf numFmtId="0" fontId="0" fillId="0" borderId="0" xfId="0" applyNumberFormat="1"/>
    <xf numFmtId="0" fontId="35" fillId="0" borderId="1" xfId="0" applyNumberFormat="1" applyFont="1" applyBorder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0" fontId="33" fillId="0" borderId="0" xfId="0" applyNumberFormat="1" applyFont="1"/>
    <xf numFmtId="49" fontId="33" fillId="0" borderId="0" xfId="0" applyNumberFormat="1" applyFont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664</xdr:row>
      <xdr:rowOff>1</xdr:rowOff>
    </xdr:from>
    <xdr:to>
      <xdr:col>1</xdr:col>
      <xdr:colOff>1525906</xdr:colOff>
      <xdr:row>672</xdr:row>
      <xdr:rowOff>59056</xdr:rowOff>
    </xdr:to>
    <xdr:pic>
      <xdr:nvPicPr>
        <xdr:cNvPr id="26" name="Рисунок 2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2390120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8" headerRowDxfId="23" dataDxfId="21" totalsRowDxfId="19" headerRowBorderDxfId="22" tableBorderDxfId="20">
  <autoFilter ref="A6:H8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97"/>
  <sheetViews>
    <sheetView workbookViewId="0">
      <selection activeCell="F2" sqref="F2:M3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4" t="s">
        <v>393</v>
      </c>
      <c r="B1" s="94"/>
      <c r="C1" s="94"/>
      <c r="D1" s="94"/>
      <c r="E1" s="94"/>
      <c r="F1" s="95" t="s">
        <v>394</v>
      </c>
      <c r="G1" s="95"/>
      <c r="H1" s="95"/>
      <c r="I1" s="95"/>
      <c r="J1" s="95"/>
      <c r="K1" s="95"/>
      <c r="L1" s="95"/>
      <c r="M1" s="95"/>
    </row>
    <row r="2" spans="1:13" x14ac:dyDescent="0.25">
      <c r="A2" s="90" t="s">
        <v>398</v>
      </c>
      <c r="B2" s="90" t="s">
        <v>399</v>
      </c>
      <c r="C2" s="90" t="s">
        <v>397</v>
      </c>
      <c r="D2" s="90" t="s">
        <v>465</v>
      </c>
      <c r="E2" s="93">
        <v>5250</v>
      </c>
      <c r="F2" s="92" t="str">
        <f t="shared" ref="F2:F55" si="0">TRIM(A2)</f>
        <v>00305</v>
      </c>
      <c r="G2" s="31" t="str">
        <f t="shared" ref="G2:G35" si="1">B2</f>
        <v xml:space="preserve">Ахмеев Карим Маратович                            </v>
      </c>
      <c r="H2" s="31" t="str">
        <f t="shared" ref="H2:H55" si="2">CONCATENATE(TRIM(C2)," ",D2)</f>
        <v>10а доп апрель</v>
      </c>
      <c r="I2" s="91" t="s">
        <v>396</v>
      </c>
      <c r="J2" s="31">
        <v>92701000</v>
      </c>
      <c r="M2" s="31">
        <f t="shared" ref="M2:M52" si="3">E2</f>
        <v>5250</v>
      </c>
    </row>
    <row r="3" spans="1:13" x14ac:dyDescent="0.25">
      <c r="A3" s="90" t="s">
        <v>400</v>
      </c>
      <c r="B3" s="90" t="s">
        <v>401</v>
      </c>
      <c r="C3" s="90" t="s">
        <v>397</v>
      </c>
      <c r="D3" s="90" t="s">
        <v>465</v>
      </c>
      <c r="E3" s="93">
        <v>14700</v>
      </c>
      <c r="F3" s="92" t="str">
        <f t="shared" si="0"/>
        <v>000710</v>
      </c>
      <c r="G3" s="31" t="str">
        <f t="shared" si="1"/>
        <v xml:space="preserve">Мифтахов Амир Радикович                           </v>
      </c>
      <c r="H3" s="31" t="str">
        <f t="shared" si="2"/>
        <v>10а доп апрель</v>
      </c>
      <c r="I3" s="91" t="s">
        <v>396</v>
      </c>
      <c r="J3" s="31">
        <v>92701000</v>
      </c>
      <c r="M3" s="31">
        <f t="shared" si="3"/>
        <v>14700</v>
      </c>
    </row>
    <row r="4" spans="1:13" x14ac:dyDescent="0.25">
      <c r="A4" s="90" t="s">
        <v>402</v>
      </c>
      <c r="B4" s="90" t="s">
        <v>403</v>
      </c>
      <c r="C4" s="90" t="s">
        <v>397</v>
      </c>
      <c r="D4" s="90" t="s">
        <v>465</v>
      </c>
      <c r="E4" s="93">
        <v>2625</v>
      </c>
      <c r="F4" s="92" t="str">
        <f t="shared" si="0"/>
        <v>00321</v>
      </c>
      <c r="G4" s="31" t="str">
        <f t="shared" si="1"/>
        <v xml:space="preserve">Нереков Глеб Петрович                             </v>
      </c>
      <c r="H4" s="31" t="str">
        <f t="shared" si="2"/>
        <v>10а доп апрель</v>
      </c>
      <c r="I4" s="91" t="s">
        <v>396</v>
      </c>
      <c r="J4" s="31">
        <v>92701000</v>
      </c>
      <c r="M4" s="31">
        <f t="shared" si="3"/>
        <v>2625</v>
      </c>
    </row>
    <row r="5" spans="1:13" x14ac:dyDescent="0.25">
      <c r="A5" s="90" t="s">
        <v>404</v>
      </c>
      <c r="B5" s="90" t="s">
        <v>405</v>
      </c>
      <c r="C5" s="90" t="s">
        <v>397</v>
      </c>
      <c r="D5" s="90" t="s">
        <v>465</v>
      </c>
      <c r="E5" s="93">
        <v>5250</v>
      </c>
      <c r="F5" s="92" t="str">
        <f t="shared" si="0"/>
        <v>00322</v>
      </c>
      <c r="G5" s="31" t="str">
        <f t="shared" si="1"/>
        <v xml:space="preserve">Низамов Амир Мулланурович                         </v>
      </c>
      <c r="H5" s="31" t="str">
        <f t="shared" si="2"/>
        <v>10а доп апрель</v>
      </c>
      <c r="I5" s="91" t="s">
        <v>396</v>
      </c>
      <c r="J5" s="31">
        <v>92701000</v>
      </c>
      <c r="M5" s="31">
        <f t="shared" si="3"/>
        <v>5250</v>
      </c>
    </row>
    <row r="6" spans="1:13" x14ac:dyDescent="0.25">
      <c r="A6" s="90" t="s">
        <v>406</v>
      </c>
      <c r="B6" s="90" t="s">
        <v>407</v>
      </c>
      <c r="C6" s="90" t="s">
        <v>397</v>
      </c>
      <c r="D6" s="90" t="s">
        <v>465</v>
      </c>
      <c r="E6" s="93">
        <v>15225</v>
      </c>
      <c r="F6" s="92" t="str">
        <f t="shared" si="0"/>
        <v>00336</v>
      </c>
      <c r="G6" s="31" t="str">
        <f t="shared" si="1"/>
        <v xml:space="preserve">Сарачоглу Бера                                    </v>
      </c>
      <c r="H6" s="31" t="str">
        <f t="shared" si="2"/>
        <v>10а доп апрель</v>
      </c>
      <c r="I6" s="91" t="s">
        <v>396</v>
      </c>
      <c r="J6" s="31">
        <v>92701000</v>
      </c>
      <c r="M6" s="31">
        <f t="shared" si="3"/>
        <v>15225</v>
      </c>
    </row>
    <row r="7" spans="1:13" x14ac:dyDescent="0.25">
      <c r="A7" s="90" t="s">
        <v>408</v>
      </c>
      <c r="B7" s="90" t="s">
        <v>409</v>
      </c>
      <c r="C7" s="90" t="s">
        <v>397</v>
      </c>
      <c r="D7" s="90" t="s">
        <v>465</v>
      </c>
      <c r="E7" s="93">
        <v>5775</v>
      </c>
      <c r="F7" s="92" t="str">
        <f t="shared" si="0"/>
        <v>00324</v>
      </c>
      <c r="G7" s="31" t="str">
        <f t="shared" si="1"/>
        <v xml:space="preserve">Саттаров Рузаль Равилевич                         </v>
      </c>
      <c r="H7" s="31" t="str">
        <f t="shared" si="2"/>
        <v>10а доп апрель</v>
      </c>
      <c r="I7" s="91" t="s">
        <v>396</v>
      </c>
      <c r="J7" s="31">
        <v>92701000</v>
      </c>
      <c r="M7" s="31">
        <f t="shared" si="3"/>
        <v>5775</v>
      </c>
    </row>
    <row r="8" spans="1:13" x14ac:dyDescent="0.25">
      <c r="A8" s="90" t="s">
        <v>410</v>
      </c>
      <c r="B8" s="90" t="s">
        <v>411</v>
      </c>
      <c r="C8" s="90" t="s">
        <v>397</v>
      </c>
      <c r="D8" s="90" t="s">
        <v>465</v>
      </c>
      <c r="E8" s="93">
        <v>5250</v>
      </c>
      <c r="F8" s="92" t="str">
        <f t="shared" si="0"/>
        <v>00325</v>
      </c>
      <c r="G8" s="31" t="str">
        <f t="shared" si="1"/>
        <v xml:space="preserve">Сафин Азар Айратович                              </v>
      </c>
      <c r="H8" s="31" t="str">
        <f t="shared" si="2"/>
        <v>10а доп апрель</v>
      </c>
      <c r="I8" s="91" t="s">
        <v>396</v>
      </c>
      <c r="J8" s="31">
        <v>92701000</v>
      </c>
      <c r="M8" s="31">
        <f t="shared" si="3"/>
        <v>5250</v>
      </c>
    </row>
    <row r="9" spans="1:13" x14ac:dyDescent="0.25">
      <c r="A9" s="90" t="s">
        <v>412</v>
      </c>
      <c r="B9" s="90" t="s">
        <v>413</v>
      </c>
      <c r="C9" s="90" t="s">
        <v>397</v>
      </c>
      <c r="D9" s="90" t="s">
        <v>465</v>
      </c>
      <c r="E9" s="93">
        <v>13790</v>
      </c>
      <c r="F9" s="92" t="str">
        <f t="shared" si="0"/>
        <v>000656</v>
      </c>
      <c r="G9" s="31" t="str">
        <f t="shared" si="1"/>
        <v xml:space="preserve">Сергеев Арсений Евгеньевич                        </v>
      </c>
      <c r="H9" s="31" t="str">
        <f t="shared" si="2"/>
        <v>10а доп апрель</v>
      </c>
      <c r="I9" s="91" t="s">
        <v>396</v>
      </c>
      <c r="J9" s="31">
        <v>92701000</v>
      </c>
      <c r="M9" s="31">
        <f t="shared" si="3"/>
        <v>13790</v>
      </c>
    </row>
    <row r="10" spans="1:13" x14ac:dyDescent="0.25">
      <c r="A10" s="90" t="s">
        <v>414</v>
      </c>
      <c r="B10" s="90" t="s">
        <v>415</v>
      </c>
      <c r="C10" s="90" t="s">
        <v>397</v>
      </c>
      <c r="D10" s="90" t="s">
        <v>465</v>
      </c>
      <c r="E10" s="93">
        <v>2625</v>
      </c>
      <c r="F10" s="92" t="str">
        <f t="shared" si="0"/>
        <v>00327</v>
      </c>
      <c r="G10" s="31" t="str">
        <f t="shared" si="1"/>
        <v xml:space="preserve">Сулейманов Равиль Ильфатович                      </v>
      </c>
      <c r="H10" s="31" t="str">
        <f t="shared" si="2"/>
        <v>10а доп апрель</v>
      </c>
      <c r="I10" s="91" t="s">
        <v>396</v>
      </c>
      <c r="J10" s="31">
        <v>92701000</v>
      </c>
      <c r="M10" s="31">
        <f t="shared" si="3"/>
        <v>2625</v>
      </c>
    </row>
    <row r="11" spans="1:13" x14ac:dyDescent="0.25">
      <c r="A11" s="90" t="s">
        <v>416</v>
      </c>
      <c r="B11" s="90" t="s">
        <v>417</v>
      </c>
      <c r="C11" s="90" t="s">
        <v>397</v>
      </c>
      <c r="D11" s="90" t="s">
        <v>465</v>
      </c>
      <c r="E11" s="93">
        <v>2625</v>
      </c>
      <c r="F11" s="92" t="str">
        <f t="shared" si="0"/>
        <v>00341</v>
      </c>
      <c r="G11" s="31" t="str">
        <f t="shared" si="1"/>
        <v xml:space="preserve">Хайруллин Карим Булатович                         </v>
      </c>
      <c r="H11" s="31" t="str">
        <f t="shared" si="2"/>
        <v>10а доп апрель</v>
      </c>
      <c r="I11" s="91" t="s">
        <v>396</v>
      </c>
      <c r="J11" s="31">
        <v>92701000</v>
      </c>
      <c r="M11" s="31">
        <f t="shared" si="3"/>
        <v>2625</v>
      </c>
    </row>
    <row r="12" spans="1:13" x14ac:dyDescent="0.25">
      <c r="A12" s="90" t="s">
        <v>418</v>
      </c>
      <c r="B12" s="90" t="s">
        <v>419</v>
      </c>
      <c r="C12" s="90" t="s">
        <v>397</v>
      </c>
      <c r="D12" s="90" t="s">
        <v>465</v>
      </c>
      <c r="E12" s="93">
        <v>5250</v>
      </c>
      <c r="F12" s="92" t="str">
        <f t="shared" si="0"/>
        <v>00342</v>
      </c>
      <c r="G12" s="31" t="str">
        <f t="shared" si="1"/>
        <v xml:space="preserve">Хакимов Азат Ильнурович                           </v>
      </c>
      <c r="H12" s="31" t="str">
        <f t="shared" si="2"/>
        <v>10а доп апрель</v>
      </c>
      <c r="I12" s="91" t="s">
        <v>396</v>
      </c>
      <c r="J12" s="31">
        <v>92701000</v>
      </c>
      <c r="M12" s="31">
        <f t="shared" si="3"/>
        <v>5250</v>
      </c>
    </row>
    <row r="13" spans="1:13" x14ac:dyDescent="0.25">
      <c r="A13" s="90" t="s">
        <v>463</v>
      </c>
      <c r="B13" s="90" t="s">
        <v>464</v>
      </c>
      <c r="C13" s="90" t="s">
        <v>397</v>
      </c>
      <c r="D13" s="90" t="s">
        <v>465</v>
      </c>
      <c r="E13" s="93">
        <v>525</v>
      </c>
      <c r="F13" s="92" t="str">
        <f t="shared" si="0"/>
        <v>00343</v>
      </c>
      <c r="G13" s="31" t="str">
        <f t="shared" si="1"/>
        <v xml:space="preserve">Хафизов Рустам Наилевич                           </v>
      </c>
      <c r="H13" s="31" t="str">
        <f t="shared" si="2"/>
        <v>10а доп апрель</v>
      </c>
      <c r="I13" s="91" t="s">
        <v>396</v>
      </c>
      <c r="J13" s="31">
        <v>92701000</v>
      </c>
      <c r="M13" s="31">
        <f t="shared" si="3"/>
        <v>525</v>
      </c>
    </row>
    <row r="14" spans="1:13" x14ac:dyDescent="0.25">
      <c r="A14" s="90" t="s">
        <v>420</v>
      </c>
      <c r="B14" s="90" t="s">
        <v>421</v>
      </c>
      <c r="C14" s="90" t="s">
        <v>397</v>
      </c>
      <c r="D14" s="90" t="s">
        <v>465</v>
      </c>
      <c r="E14" s="93">
        <v>2625</v>
      </c>
      <c r="F14" s="92" t="str">
        <f t="shared" si="0"/>
        <v>00344</v>
      </c>
      <c r="G14" s="31" t="str">
        <f t="shared" si="1"/>
        <v xml:space="preserve">Шагимарданов Амир Айдарович                       </v>
      </c>
      <c r="H14" s="31" t="str">
        <f t="shared" si="2"/>
        <v>10а доп апрель</v>
      </c>
      <c r="I14" s="91" t="s">
        <v>396</v>
      </c>
      <c r="J14" s="31">
        <v>92701000</v>
      </c>
      <c r="M14" s="31">
        <f t="shared" si="3"/>
        <v>2625</v>
      </c>
    </row>
    <row r="15" spans="1:13" x14ac:dyDescent="0.25">
      <c r="A15" s="90" t="s">
        <v>422</v>
      </c>
      <c r="B15" s="90" t="s">
        <v>423</v>
      </c>
      <c r="C15" s="90" t="s">
        <v>397</v>
      </c>
      <c r="D15" s="90" t="s">
        <v>465</v>
      </c>
      <c r="E15" s="93">
        <v>13789.58</v>
      </c>
      <c r="F15" s="92" t="str">
        <f t="shared" si="0"/>
        <v>00345</v>
      </c>
      <c r="G15" s="31" t="str">
        <f t="shared" si="1"/>
        <v xml:space="preserve">Шаймарданов Айрат Ильшатович                      </v>
      </c>
      <c r="H15" s="31" t="str">
        <f t="shared" si="2"/>
        <v>10а доп апрель</v>
      </c>
      <c r="I15" s="91" t="s">
        <v>396</v>
      </c>
      <c r="J15" s="31">
        <v>92701000</v>
      </c>
      <c r="M15" s="31">
        <f t="shared" si="3"/>
        <v>13789.58</v>
      </c>
    </row>
    <row r="16" spans="1:13" x14ac:dyDescent="0.25">
      <c r="A16" s="90" t="s">
        <v>424</v>
      </c>
      <c r="B16" s="90" t="s">
        <v>425</v>
      </c>
      <c r="C16" s="90" t="s">
        <v>397</v>
      </c>
      <c r="D16" s="90" t="s">
        <v>465</v>
      </c>
      <c r="E16" s="93">
        <v>19950</v>
      </c>
      <c r="F16" s="92" t="str">
        <f t="shared" si="0"/>
        <v>00347</v>
      </c>
      <c r="G16" s="31" t="str">
        <f t="shared" si="1"/>
        <v xml:space="preserve">Юсубов Мухаммад Робилевич                         </v>
      </c>
      <c r="H16" s="31" t="str">
        <f t="shared" si="2"/>
        <v>10а доп апрель</v>
      </c>
      <c r="I16" s="91" t="s">
        <v>396</v>
      </c>
      <c r="J16" s="31">
        <v>92701000</v>
      </c>
      <c r="M16" s="31">
        <f t="shared" si="3"/>
        <v>19950</v>
      </c>
    </row>
    <row r="17" spans="6:13" x14ac:dyDescent="0.25">
      <c r="F17" s="92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1" t="s">
        <v>396</v>
      </c>
      <c r="J17" s="31">
        <v>92701000</v>
      </c>
      <c r="M17" s="31">
        <f t="shared" si="3"/>
        <v>0</v>
      </c>
    </row>
    <row r="18" spans="6:13" x14ac:dyDescent="0.25">
      <c r="F18" s="92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1" t="s">
        <v>396</v>
      </c>
      <c r="J18" s="31">
        <v>92701000</v>
      </c>
      <c r="M18" s="31">
        <f t="shared" si="3"/>
        <v>0</v>
      </c>
    </row>
    <row r="19" spans="6:13" x14ac:dyDescent="0.25">
      <c r="F19" s="92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1" t="s">
        <v>387</v>
      </c>
      <c r="J19" s="31">
        <v>92701000</v>
      </c>
      <c r="M19" s="31">
        <f t="shared" si="3"/>
        <v>0</v>
      </c>
    </row>
    <row r="20" spans="6:13" x14ac:dyDescent="0.25">
      <c r="F20" s="92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1" t="s">
        <v>387</v>
      </c>
      <c r="J20" s="31">
        <v>92701000</v>
      </c>
      <c r="M20" s="31">
        <f t="shared" si="3"/>
        <v>0</v>
      </c>
    </row>
    <row r="21" spans="6:13" x14ac:dyDescent="0.25">
      <c r="F21" s="92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1" t="s">
        <v>387</v>
      </c>
      <c r="J21" s="31">
        <v>92701000</v>
      </c>
      <c r="M21" s="31">
        <f t="shared" si="3"/>
        <v>0</v>
      </c>
    </row>
    <row r="22" spans="6:13" x14ac:dyDescent="0.25">
      <c r="F22" s="92" t="str">
        <f t="shared" si="0"/>
        <v/>
      </c>
      <c r="G22" s="31">
        <f t="shared" si="1"/>
        <v>0</v>
      </c>
      <c r="H22" s="31" t="str">
        <f t="shared" si="2"/>
        <v xml:space="preserve"> </v>
      </c>
      <c r="I22" s="91" t="s">
        <v>387</v>
      </c>
      <c r="J22" s="31">
        <v>92701000</v>
      </c>
      <c r="M22" s="31">
        <f t="shared" si="3"/>
        <v>0</v>
      </c>
    </row>
    <row r="23" spans="6:13" x14ac:dyDescent="0.25">
      <c r="F23" s="92" t="str">
        <f t="shared" si="0"/>
        <v/>
      </c>
      <c r="G23" s="31">
        <f t="shared" si="1"/>
        <v>0</v>
      </c>
      <c r="H23" s="31" t="str">
        <f t="shared" si="2"/>
        <v xml:space="preserve"> </v>
      </c>
      <c r="I23" s="91" t="s">
        <v>387</v>
      </c>
      <c r="J23" s="31">
        <v>92701000</v>
      </c>
      <c r="M23" s="31">
        <f t="shared" si="3"/>
        <v>0</v>
      </c>
    </row>
    <row r="24" spans="6:13" x14ac:dyDescent="0.25">
      <c r="F24" s="92" t="str">
        <f t="shared" si="0"/>
        <v/>
      </c>
      <c r="G24" s="31">
        <f t="shared" si="1"/>
        <v>0</v>
      </c>
      <c r="H24" s="31" t="str">
        <f t="shared" si="2"/>
        <v xml:space="preserve"> </v>
      </c>
      <c r="I24" s="91" t="s">
        <v>387</v>
      </c>
      <c r="J24" s="31">
        <v>92701000</v>
      </c>
      <c r="M24" s="31">
        <f t="shared" si="3"/>
        <v>0</v>
      </c>
    </row>
    <row r="25" spans="6:13" x14ac:dyDescent="0.25">
      <c r="F25" s="92" t="str">
        <f t="shared" si="0"/>
        <v/>
      </c>
      <c r="G25" s="31">
        <f t="shared" si="1"/>
        <v>0</v>
      </c>
      <c r="H25" s="31" t="str">
        <f t="shared" si="2"/>
        <v xml:space="preserve"> </v>
      </c>
      <c r="I25" s="91" t="s">
        <v>387</v>
      </c>
      <c r="J25" s="31">
        <v>92701000</v>
      </c>
      <c r="M25" s="31">
        <f t="shared" si="3"/>
        <v>0</v>
      </c>
    </row>
    <row r="26" spans="6:13" x14ac:dyDescent="0.25">
      <c r="F26" s="92" t="str">
        <f t="shared" si="0"/>
        <v/>
      </c>
      <c r="G26" s="31">
        <f t="shared" si="1"/>
        <v>0</v>
      </c>
      <c r="H26" s="31" t="str">
        <f t="shared" si="2"/>
        <v xml:space="preserve"> </v>
      </c>
      <c r="I26" s="91" t="s">
        <v>387</v>
      </c>
      <c r="J26" s="31">
        <v>92701000</v>
      </c>
      <c r="M26" s="31">
        <f t="shared" si="3"/>
        <v>0</v>
      </c>
    </row>
    <row r="27" spans="6:13" x14ac:dyDescent="0.25">
      <c r="F27" s="92" t="str">
        <f t="shared" si="0"/>
        <v/>
      </c>
      <c r="G27" s="31">
        <f t="shared" si="1"/>
        <v>0</v>
      </c>
      <c r="H27" s="31" t="str">
        <f t="shared" si="2"/>
        <v xml:space="preserve"> </v>
      </c>
      <c r="I27" s="91" t="s">
        <v>387</v>
      </c>
      <c r="J27" s="31">
        <v>92701000</v>
      </c>
      <c r="M27" s="31">
        <f t="shared" si="3"/>
        <v>0</v>
      </c>
    </row>
    <row r="28" spans="6:13" x14ac:dyDescent="0.25">
      <c r="F28" s="92" t="str">
        <f t="shared" si="0"/>
        <v/>
      </c>
      <c r="G28" s="31">
        <f t="shared" si="1"/>
        <v>0</v>
      </c>
      <c r="H28" s="31" t="str">
        <f t="shared" si="2"/>
        <v xml:space="preserve"> </v>
      </c>
      <c r="I28" s="91" t="s">
        <v>387</v>
      </c>
      <c r="J28" s="31">
        <v>92701000</v>
      </c>
      <c r="M28" s="31">
        <f t="shared" si="3"/>
        <v>0</v>
      </c>
    </row>
    <row r="29" spans="6:13" x14ac:dyDescent="0.25">
      <c r="F29" s="92" t="str">
        <f t="shared" si="0"/>
        <v/>
      </c>
      <c r="G29" s="31">
        <f t="shared" si="1"/>
        <v>0</v>
      </c>
      <c r="H29" s="31" t="str">
        <f t="shared" si="2"/>
        <v xml:space="preserve"> </v>
      </c>
      <c r="I29" s="91" t="s">
        <v>387</v>
      </c>
      <c r="J29" s="31">
        <v>92701000</v>
      </c>
      <c r="M29" s="31">
        <f t="shared" si="3"/>
        <v>0</v>
      </c>
    </row>
    <row r="30" spans="6:13" x14ac:dyDescent="0.25">
      <c r="F30" s="92" t="str">
        <f t="shared" si="0"/>
        <v/>
      </c>
      <c r="G30" s="31">
        <f t="shared" si="1"/>
        <v>0</v>
      </c>
      <c r="H30" s="31" t="str">
        <f t="shared" si="2"/>
        <v xml:space="preserve"> </v>
      </c>
      <c r="I30" s="91" t="s">
        <v>387</v>
      </c>
      <c r="J30" s="31">
        <v>92701000</v>
      </c>
      <c r="M30" s="31">
        <f t="shared" si="3"/>
        <v>0</v>
      </c>
    </row>
    <row r="31" spans="6:13" x14ac:dyDescent="0.25">
      <c r="F31" s="92" t="str">
        <f t="shared" si="0"/>
        <v/>
      </c>
      <c r="G31" s="31">
        <f t="shared" si="1"/>
        <v>0</v>
      </c>
      <c r="H31" s="31" t="str">
        <f t="shared" si="2"/>
        <v xml:space="preserve"> </v>
      </c>
      <c r="I31" s="91" t="s">
        <v>387</v>
      </c>
      <c r="J31" s="31">
        <v>92701000</v>
      </c>
      <c r="M31" s="31">
        <f t="shared" si="3"/>
        <v>0</v>
      </c>
    </row>
    <row r="32" spans="6:13" x14ac:dyDescent="0.25">
      <c r="F32" s="92" t="str">
        <f t="shared" si="0"/>
        <v/>
      </c>
      <c r="G32" s="31">
        <f t="shared" si="1"/>
        <v>0</v>
      </c>
      <c r="H32" s="31" t="str">
        <f t="shared" si="2"/>
        <v xml:space="preserve"> </v>
      </c>
      <c r="I32" s="91" t="s">
        <v>387</v>
      </c>
      <c r="J32" s="31">
        <v>92701000</v>
      </c>
      <c r="M32" s="31">
        <f t="shared" si="3"/>
        <v>0</v>
      </c>
    </row>
    <row r="33" spans="6:13" x14ac:dyDescent="0.25">
      <c r="F33" s="92" t="str">
        <f t="shared" si="0"/>
        <v/>
      </c>
      <c r="G33" s="31">
        <f t="shared" si="1"/>
        <v>0</v>
      </c>
      <c r="H33" s="31" t="str">
        <f t="shared" si="2"/>
        <v xml:space="preserve"> </v>
      </c>
      <c r="I33" s="91" t="s">
        <v>387</v>
      </c>
      <c r="J33" s="31">
        <v>92701000</v>
      </c>
      <c r="M33" s="31">
        <f t="shared" si="3"/>
        <v>0</v>
      </c>
    </row>
    <row r="34" spans="6:13" x14ac:dyDescent="0.25">
      <c r="F34" s="92" t="str">
        <f t="shared" si="0"/>
        <v/>
      </c>
      <c r="G34" s="31">
        <f t="shared" si="1"/>
        <v>0</v>
      </c>
      <c r="H34" s="31" t="str">
        <f t="shared" si="2"/>
        <v xml:space="preserve"> </v>
      </c>
      <c r="I34" s="91" t="s">
        <v>387</v>
      </c>
      <c r="J34" s="31">
        <v>92701000</v>
      </c>
      <c r="M34" s="31">
        <f t="shared" si="3"/>
        <v>0</v>
      </c>
    </row>
    <row r="35" spans="6:13" x14ac:dyDescent="0.25">
      <c r="F35" s="92" t="str">
        <f t="shared" si="0"/>
        <v/>
      </c>
      <c r="G35" s="31">
        <f t="shared" si="1"/>
        <v>0</v>
      </c>
      <c r="H35" s="31" t="str">
        <f t="shared" si="2"/>
        <v xml:space="preserve"> </v>
      </c>
      <c r="I35" s="91" t="s">
        <v>387</v>
      </c>
      <c r="J35" s="31">
        <v>92701000</v>
      </c>
      <c r="M35" s="31">
        <f t="shared" si="3"/>
        <v>0</v>
      </c>
    </row>
    <row r="36" spans="6:13" x14ac:dyDescent="0.25">
      <c r="F36" s="92" t="str">
        <f t="shared" si="0"/>
        <v/>
      </c>
      <c r="G36" s="31">
        <f t="shared" ref="G36:G99" si="4">B36</f>
        <v>0</v>
      </c>
      <c r="H36" s="31" t="str">
        <f t="shared" si="2"/>
        <v xml:space="preserve"> </v>
      </c>
      <c r="I36" s="91" t="s">
        <v>387</v>
      </c>
      <c r="J36" s="31">
        <v>92701000</v>
      </c>
      <c r="M36" s="31">
        <f t="shared" si="3"/>
        <v>0</v>
      </c>
    </row>
    <row r="37" spans="6:13" x14ac:dyDescent="0.25">
      <c r="F37" s="92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1" t="s">
        <v>387</v>
      </c>
      <c r="J37" s="31">
        <v>92701000</v>
      </c>
      <c r="M37" s="31">
        <f t="shared" si="3"/>
        <v>0</v>
      </c>
    </row>
    <row r="38" spans="6:13" x14ac:dyDescent="0.25">
      <c r="F38" s="92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1" t="s">
        <v>387</v>
      </c>
      <c r="J38" s="31">
        <v>92701000</v>
      </c>
      <c r="M38" s="31">
        <f t="shared" si="3"/>
        <v>0</v>
      </c>
    </row>
    <row r="39" spans="6:13" x14ac:dyDescent="0.25">
      <c r="F39" s="92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1" t="s">
        <v>387</v>
      </c>
      <c r="J39" s="31">
        <v>92701000</v>
      </c>
      <c r="M39" s="31">
        <f t="shared" si="3"/>
        <v>0</v>
      </c>
    </row>
    <row r="40" spans="6:13" x14ac:dyDescent="0.25">
      <c r="F40" s="92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1" t="s">
        <v>387</v>
      </c>
      <c r="J40" s="31">
        <v>92701000</v>
      </c>
      <c r="M40" s="31">
        <f t="shared" si="3"/>
        <v>0</v>
      </c>
    </row>
    <row r="41" spans="6:13" x14ac:dyDescent="0.25">
      <c r="F41" s="92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1" t="s">
        <v>387</v>
      </c>
      <c r="J41" s="31">
        <v>92701000</v>
      </c>
      <c r="M41" s="31">
        <f t="shared" si="3"/>
        <v>0</v>
      </c>
    </row>
    <row r="42" spans="6:13" x14ac:dyDescent="0.25">
      <c r="F42" s="92" t="str">
        <f t="shared" si="0"/>
        <v/>
      </c>
      <c r="G42" s="31">
        <f t="shared" si="4"/>
        <v>0</v>
      </c>
      <c r="H42" s="31" t="str">
        <f t="shared" si="2"/>
        <v xml:space="preserve"> </v>
      </c>
      <c r="I42" s="91" t="s">
        <v>387</v>
      </c>
      <c r="J42" s="31">
        <v>92701000</v>
      </c>
      <c r="M42" s="31">
        <f t="shared" si="3"/>
        <v>0</v>
      </c>
    </row>
    <row r="43" spans="6:13" x14ac:dyDescent="0.25">
      <c r="F43" s="92" t="str">
        <f t="shared" si="0"/>
        <v/>
      </c>
      <c r="G43" s="31">
        <f t="shared" si="4"/>
        <v>0</v>
      </c>
      <c r="H43" s="31" t="str">
        <f t="shared" si="2"/>
        <v xml:space="preserve"> </v>
      </c>
      <c r="I43" s="91" t="s">
        <v>387</v>
      </c>
      <c r="J43" s="31">
        <v>92701000</v>
      </c>
      <c r="M43" s="31">
        <f t="shared" si="3"/>
        <v>0</v>
      </c>
    </row>
    <row r="44" spans="6:13" x14ac:dyDescent="0.25">
      <c r="F44" s="92" t="str">
        <f t="shared" si="0"/>
        <v/>
      </c>
      <c r="G44" s="31">
        <f t="shared" si="4"/>
        <v>0</v>
      </c>
      <c r="H44" s="31" t="str">
        <f t="shared" si="2"/>
        <v xml:space="preserve"> </v>
      </c>
      <c r="I44" s="91" t="s">
        <v>387</v>
      </c>
      <c r="J44" s="31">
        <v>92701000</v>
      </c>
      <c r="M44" s="31">
        <f t="shared" si="3"/>
        <v>0</v>
      </c>
    </row>
    <row r="45" spans="6:13" x14ac:dyDescent="0.25">
      <c r="F45" s="92" t="str">
        <f t="shared" si="0"/>
        <v/>
      </c>
      <c r="G45" s="31">
        <f t="shared" si="4"/>
        <v>0</v>
      </c>
      <c r="H45" s="31" t="str">
        <f t="shared" si="2"/>
        <v xml:space="preserve"> </v>
      </c>
      <c r="I45" s="91" t="s">
        <v>387</v>
      </c>
      <c r="J45" s="31">
        <v>92701000</v>
      </c>
      <c r="M45" s="31">
        <f t="shared" si="3"/>
        <v>0</v>
      </c>
    </row>
    <row r="46" spans="6:13" x14ac:dyDescent="0.25">
      <c r="F46" s="92" t="str">
        <f t="shared" si="0"/>
        <v/>
      </c>
      <c r="G46" s="31">
        <f t="shared" si="4"/>
        <v>0</v>
      </c>
      <c r="H46" s="31" t="str">
        <f t="shared" si="2"/>
        <v xml:space="preserve"> </v>
      </c>
      <c r="I46" s="91" t="s">
        <v>387</v>
      </c>
      <c r="J46" s="31">
        <v>92701000</v>
      </c>
      <c r="M46" s="31">
        <f t="shared" si="3"/>
        <v>0</v>
      </c>
    </row>
    <row r="47" spans="6:13" x14ac:dyDescent="0.25">
      <c r="F47" s="92" t="str">
        <f t="shared" si="0"/>
        <v/>
      </c>
      <c r="G47" s="31">
        <f t="shared" si="4"/>
        <v>0</v>
      </c>
      <c r="H47" s="31" t="str">
        <f t="shared" si="2"/>
        <v xml:space="preserve"> </v>
      </c>
      <c r="I47" s="91" t="s">
        <v>387</v>
      </c>
      <c r="J47" s="31">
        <v>92701000</v>
      </c>
      <c r="M47" s="31">
        <f t="shared" si="3"/>
        <v>0</v>
      </c>
    </row>
    <row r="48" spans="6:13" x14ac:dyDescent="0.25">
      <c r="F48" s="92" t="str">
        <f t="shared" si="0"/>
        <v/>
      </c>
      <c r="G48" s="31">
        <f t="shared" si="4"/>
        <v>0</v>
      </c>
      <c r="H48" s="31" t="str">
        <f t="shared" si="2"/>
        <v xml:space="preserve"> </v>
      </c>
      <c r="I48" s="91" t="s">
        <v>387</v>
      </c>
      <c r="J48" s="31">
        <v>92701000</v>
      </c>
      <c r="M48" s="31">
        <f t="shared" si="3"/>
        <v>0</v>
      </c>
    </row>
    <row r="49" spans="6:13" x14ac:dyDescent="0.25">
      <c r="F49" s="92" t="str">
        <f t="shared" si="0"/>
        <v/>
      </c>
      <c r="G49" s="31">
        <f t="shared" si="4"/>
        <v>0</v>
      </c>
      <c r="H49" s="31" t="str">
        <f t="shared" si="2"/>
        <v xml:space="preserve"> </v>
      </c>
      <c r="I49" s="91" t="s">
        <v>387</v>
      </c>
      <c r="J49" s="31">
        <v>92701000</v>
      </c>
      <c r="M49" s="31">
        <f t="shared" si="3"/>
        <v>0</v>
      </c>
    </row>
    <row r="50" spans="6:13" x14ac:dyDescent="0.25">
      <c r="F50" s="92" t="str">
        <f t="shared" si="0"/>
        <v/>
      </c>
      <c r="G50" s="31">
        <f t="shared" si="4"/>
        <v>0</v>
      </c>
      <c r="H50" s="31" t="str">
        <f t="shared" si="2"/>
        <v xml:space="preserve"> </v>
      </c>
      <c r="I50" s="91" t="s">
        <v>387</v>
      </c>
      <c r="J50" s="31">
        <v>92701000</v>
      </c>
      <c r="M50" s="31">
        <f t="shared" si="3"/>
        <v>0</v>
      </c>
    </row>
    <row r="51" spans="6:13" x14ac:dyDescent="0.25">
      <c r="F51" s="92" t="str">
        <f t="shared" si="0"/>
        <v/>
      </c>
      <c r="G51" s="31">
        <f t="shared" si="4"/>
        <v>0</v>
      </c>
      <c r="H51" s="31" t="str">
        <f t="shared" si="2"/>
        <v xml:space="preserve"> </v>
      </c>
      <c r="I51" s="91" t="s">
        <v>387</v>
      </c>
      <c r="J51" s="31">
        <v>92701000</v>
      </c>
      <c r="M51" s="31">
        <f t="shared" si="3"/>
        <v>0</v>
      </c>
    </row>
    <row r="52" spans="6:13" x14ac:dyDescent="0.25">
      <c r="F52" s="92" t="str">
        <f t="shared" si="0"/>
        <v/>
      </c>
      <c r="G52" s="31">
        <f t="shared" si="4"/>
        <v>0</v>
      </c>
      <c r="H52" s="31" t="str">
        <f t="shared" si="2"/>
        <v xml:space="preserve"> </v>
      </c>
      <c r="I52" s="91" t="s">
        <v>387</v>
      </c>
      <c r="J52" s="31">
        <v>92701000</v>
      </c>
      <c r="M52" s="31">
        <f t="shared" si="3"/>
        <v>0</v>
      </c>
    </row>
    <row r="53" spans="6:13" x14ac:dyDescent="0.25">
      <c r="F53" s="92" t="str">
        <f t="shared" si="0"/>
        <v/>
      </c>
      <c r="G53" s="31">
        <f t="shared" si="4"/>
        <v>0</v>
      </c>
      <c r="H53" s="31" t="str">
        <f t="shared" si="2"/>
        <v xml:space="preserve"> </v>
      </c>
      <c r="I53" s="91" t="s">
        <v>387</v>
      </c>
      <c r="J53" s="31">
        <v>92701000</v>
      </c>
      <c r="M53" s="31">
        <f t="shared" ref="M53:M116" si="5">E53</f>
        <v>0</v>
      </c>
    </row>
    <row r="54" spans="6:13" x14ac:dyDescent="0.25">
      <c r="F54" s="92" t="str">
        <f t="shared" si="0"/>
        <v/>
      </c>
      <c r="G54" s="31">
        <f t="shared" si="4"/>
        <v>0</v>
      </c>
      <c r="H54" s="31" t="str">
        <f t="shared" si="2"/>
        <v xml:space="preserve"> </v>
      </c>
      <c r="I54" s="91" t="s">
        <v>387</v>
      </c>
      <c r="J54" s="31">
        <v>92701000</v>
      </c>
      <c r="M54" s="31">
        <f t="shared" si="5"/>
        <v>0</v>
      </c>
    </row>
    <row r="55" spans="6:13" x14ac:dyDescent="0.25">
      <c r="F55" s="92" t="str">
        <f t="shared" si="0"/>
        <v/>
      </c>
      <c r="G55" s="31">
        <f t="shared" si="4"/>
        <v>0</v>
      </c>
      <c r="H55" s="31" t="str">
        <f t="shared" si="2"/>
        <v xml:space="preserve"> </v>
      </c>
      <c r="I55" s="91" t="s">
        <v>387</v>
      </c>
      <c r="J55" s="31">
        <v>92701000</v>
      </c>
      <c r="M55" s="31">
        <f t="shared" si="5"/>
        <v>0</v>
      </c>
    </row>
    <row r="56" spans="6:13" x14ac:dyDescent="0.25">
      <c r="F56" s="92" t="str">
        <f t="shared" ref="F56:F119" si="6">TRIM(A56)</f>
        <v/>
      </c>
      <c r="G56" s="31">
        <f t="shared" si="4"/>
        <v>0</v>
      </c>
      <c r="H56" s="31" t="str">
        <f t="shared" ref="H56:H119" si="7">CONCATENATE(TRIM(C56)," ",D56)</f>
        <v xml:space="preserve"> </v>
      </c>
      <c r="I56" s="91" t="s">
        <v>387</v>
      </c>
      <c r="J56" s="31">
        <v>92701000</v>
      </c>
      <c r="M56" s="31">
        <f t="shared" si="5"/>
        <v>0</v>
      </c>
    </row>
    <row r="57" spans="6:13" x14ac:dyDescent="0.25">
      <c r="F57" s="92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1" t="s">
        <v>387</v>
      </c>
      <c r="J57" s="31">
        <v>92701000</v>
      </c>
      <c r="M57" s="31">
        <f t="shared" si="5"/>
        <v>0</v>
      </c>
    </row>
    <row r="58" spans="6:13" x14ac:dyDescent="0.25">
      <c r="F58" s="92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1" t="s">
        <v>387</v>
      </c>
      <c r="J58" s="31">
        <v>92701000</v>
      </c>
      <c r="M58" s="31">
        <f t="shared" si="5"/>
        <v>0</v>
      </c>
    </row>
    <row r="59" spans="6:13" x14ac:dyDescent="0.25">
      <c r="F59" s="92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1" t="s">
        <v>387</v>
      </c>
      <c r="J59" s="31">
        <v>92701000</v>
      </c>
      <c r="M59" s="31">
        <f t="shared" si="5"/>
        <v>0</v>
      </c>
    </row>
    <row r="60" spans="6:13" x14ac:dyDescent="0.25">
      <c r="F60" s="92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1" t="s">
        <v>387</v>
      </c>
      <c r="J60" s="31">
        <v>92701000</v>
      </c>
      <c r="M60" s="31">
        <f t="shared" si="5"/>
        <v>0</v>
      </c>
    </row>
    <row r="61" spans="6:13" x14ac:dyDescent="0.25">
      <c r="F61" s="92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1" t="s">
        <v>387</v>
      </c>
      <c r="J61" s="31">
        <v>92701000</v>
      </c>
      <c r="M61" s="31">
        <f t="shared" si="5"/>
        <v>0</v>
      </c>
    </row>
    <row r="62" spans="6:13" x14ac:dyDescent="0.25">
      <c r="F62" s="92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1" t="s">
        <v>387</v>
      </c>
      <c r="J62" s="31">
        <v>92701000</v>
      </c>
      <c r="M62" s="31">
        <f t="shared" si="5"/>
        <v>0</v>
      </c>
    </row>
    <row r="63" spans="6:13" x14ac:dyDescent="0.25">
      <c r="F63" s="92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1" t="s">
        <v>387</v>
      </c>
      <c r="J63" s="31">
        <v>92701000</v>
      </c>
      <c r="M63" s="31">
        <f t="shared" si="5"/>
        <v>0</v>
      </c>
    </row>
    <row r="64" spans="6:13" x14ac:dyDescent="0.25">
      <c r="F64" s="92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1" t="s">
        <v>387</v>
      </c>
      <c r="J64" s="31">
        <v>92701000</v>
      </c>
      <c r="M64" s="31">
        <f t="shared" si="5"/>
        <v>0</v>
      </c>
    </row>
    <row r="65" spans="6:13" x14ac:dyDescent="0.25">
      <c r="F65" s="92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2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2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2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2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2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2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2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2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2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2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2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2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2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2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2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2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2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2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2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2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2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2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2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2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2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2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2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2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2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2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2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2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2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2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2" t="str">
        <f t="shared" si="6"/>
        <v/>
      </c>
      <c r="G100" s="31">
        <f t="shared" ref="G100:G163" si="8">B100</f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2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2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2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2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si="5"/>
        <v>0</v>
      </c>
    </row>
    <row r="105" spans="6:13" x14ac:dyDescent="0.25">
      <c r="F105" s="92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5"/>
        <v>0</v>
      </c>
    </row>
    <row r="106" spans="6:13" x14ac:dyDescent="0.25">
      <c r="F106" s="92" t="str">
        <f t="shared" si="6"/>
        <v/>
      </c>
      <c r="G106" s="31">
        <f t="shared" si="8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5"/>
        <v>0</v>
      </c>
    </row>
    <row r="107" spans="6:13" x14ac:dyDescent="0.25">
      <c r="F107" s="92" t="str">
        <f t="shared" si="6"/>
        <v/>
      </c>
      <c r="G107" s="31">
        <f t="shared" si="8"/>
        <v>0</v>
      </c>
      <c r="H107" s="31" t="str">
        <f t="shared" si="7"/>
        <v xml:space="preserve"> </v>
      </c>
      <c r="I107" s="91" t="s">
        <v>387</v>
      </c>
      <c r="J107" s="31">
        <v>92701000</v>
      </c>
      <c r="M107" s="31">
        <f t="shared" si="5"/>
        <v>0</v>
      </c>
    </row>
    <row r="108" spans="6:13" x14ac:dyDescent="0.25">
      <c r="F108" s="92" t="str">
        <f t="shared" si="6"/>
        <v/>
      </c>
      <c r="G108" s="31">
        <f t="shared" si="8"/>
        <v>0</v>
      </c>
      <c r="H108" s="31" t="str">
        <f t="shared" si="7"/>
        <v xml:space="preserve"> </v>
      </c>
      <c r="I108" s="91" t="s">
        <v>387</v>
      </c>
      <c r="J108" s="31">
        <v>92701000</v>
      </c>
      <c r="M108" s="31">
        <f t="shared" si="5"/>
        <v>0</v>
      </c>
    </row>
    <row r="109" spans="6:13" x14ac:dyDescent="0.25">
      <c r="F109" s="92" t="str">
        <f t="shared" si="6"/>
        <v/>
      </c>
      <c r="G109" s="31">
        <f t="shared" si="8"/>
        <v>0</v>
      </c>
      <c r="H109" s="31" t="str">
        <f t="shared" si="7"/>
        <v xml:space="preserve"> </v>
      </c>
      <c r="I109" s="91" t="s">
        <v>387</v>
      </c>
      <c r="J109" s="31">
        <v>92701000</v>
      </c>
      <c r="M109" s="31">
        <f t="shared" si="5"/>
        <v>0</v>
      </c>
    </row>
    <row r="110" spans="6:13" x14ac:dyDescent="0.25">
      <c r="F110" s="92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1" t="s">
        <v>387</v>
      </c>
      <c r="J110" s="31">
        <v>92701000</v>
      </c>
      <c r="M110" s="31">
        <f t="shared" si="5"/>
        <v>0</v>
      </c>
    </row>
    <row r="111" spans="6:13" x14ac:dyDescent="0.25">
      <c r="F111" s="92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1" t="s">
        <v>387</v>
      </c>
      <c r="J111" s="31">
        <v>92701000</v>
      </c>
      <c r="M111" s="31">
        <f t="shared" si="5"/>
        <v>0</v>
      </c>
    </row>
    <row r="112" spans="6:13" x14ac:dyDescent="0.25">
      <c r="F112" s="92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1" t="s">
        <v>387</v>
      </c>
      <c r="J112" s="31">
        <v>92701000</v>
      </c>
      <c r="M112" s="31">
        <f t="shared" si="5"/>
        <v>0</v>
      </c>
    </row>
    <row r="113" spans="6:13" x14ac:dyDescent="0.25">
      <c r="F113" s="92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1" t="s">
        <v>387</v>
      </c>
      <c r="J113" s="31">
        <v>92701000</v>
      </c>
      <c r="M113" s="31">
        <f t="shared" si="5"/>
        <v>0</v>
      </c>
    </row>
    <row r="114" spans="6:13" x14ac:dyDescent="0.25">
      <c r="F114" s="92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1" t="s">
        <v>387</v>
      </c>
      <c r="J114" s="31">
        <v>92701000</v>
      </c>
      <c r="M114" s="31">
        <f t="shared" si="5"/>
        <v>0</v>
      </c>
    </row>
    <row r="115" spans="6:13" x14ac:dyDescent="0.25">
      <c r="F115" s="92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1" t="s">
        <v>387</v>
      </c>
      <c r="J115" s="31">
        <v>92701000</v>
      </c>
      <c r="M115" s="31">
        <f t="shared" si="5"/>
        <v>0</v>
      </c>
    </row>
    <row r="116" spans="6:13" x14ac:dyDescent="0.25">
      <c r="F116" s="92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1" t="s">
        <v>387</v>
      </c>
      <c r="J116" s="31">
        <v>92701000</v>
      </c>
      <c r="M116" s="31">
        <f t="shared" si="5"/>
        <v>0</v>
      </c>
    </row>
    <row r="117" spans="6:13" x14ac:dyDescent="0.25">
      <c r="F117" s="92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1" t="s">
        <v>387</v>
      </c>
      <c r="J117" s="31">
        <v>92701000</v>
      </c>
      <c r="M117" s="31">
        <f t="shared" ref="M117:M180" si="9">E117</f>
        <v>0</v>
      </c>
    </row>
    <row r="118" spans="6:13" x14ac:dyDescent="0.25">
      <c r="F118" s="92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1" t="s">
        <v>387</v>
      </c>
      <c r="J118" s="31">
        <v>92701000</v>
      </c>
      <c r="M118" s="31">
        <f t="shared" si="9"/>
        <v>0</v>
      </c>
    </row>
    <row r="119" spans="6:13" x14ac:dyDescent="0.25">
      <c r="F119" s="92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1" t="s">
        <v>387</v>
      </c>
      <c r="J119" s="31">
        <v>92701000</v>
      </c>
      <c r="M119" s="31">
        <f t="shared" si="9"/>
        <v>0</v>
      </c>
    </row>
    <row r="120" spans="6:13" x14ac:dyDescent="0.25">
      <c r="F120" s="92" t="str">
        <f t="shared" ref="F120:F183" si="10">TRIM(A120)</f>
        <v/>
      </c>
      <c r="G120" s="31">
        <f t="shared" si="8"/>
        <v>0</v>
      </c>
      <c r="H120" s="31" t="str">
        <f t="shared" ref="H120:H183" si="11">CONCATENATE(TRIM(C120)," ",D120)</f>
        <v xml:space="preserve"> </v>
      </c>
      <c r="I120" s="91" t="s">
        <v>387</v>
      </c>
      <c r="J120" s="31">
        <v>92701000</v>
      </c>
      <c r="M120" s="31">
        <f t="shared" si="9"/>
        <v>0</v>
      </c>
    </row>
    <row r="121" spans="6:13" x14ac:dyDescent="0.25">
      <c r="F121" s="92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1" t="s">
        <v>387</v>
      </c>
      <c r="J121" s="31">
        <v>92701000</v>
      </c>
      <c r="M121" s="31">
        <f t="shared" si="9"/>
        <v>0</v>
      </c>
    </row>
    <row r="122" spans="6:13" x14ac:dyDescent="0.25">
      <c r="F122" s="92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1" t="s">
        <v>387</v>
      </c>
      <c r="J122" s="31">
        <v>92701000</v>
      </c>
      <c r="M122" s="31">
        <f t="shared" si="9"/>
        <v>0</v>
      </c>
    </row>
    <row r="123" spans="6:13" x14ac:dyDescent="0.25">
      <c r="F123" s="92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1" t="s">
        <v>387</v>
      </c>
      <c r="J123" s="31">
        <v>92701000</v>
      </c>
      <c r="M123" s="31">
        <f t="shared" si="9"/>
        <v>0</v>
      </c>
    </row>
    <row r="124" spans="6:13" x14ac:dyDescent="0.25">
      <c r="F124" s="92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1" t="s">
        <v>387</v>
      </c>
      <c r="J124" s="31">
        <v>92701000</v>
      </c>
      <c r="M124" s="31">
        <f t="shared" si="9"/>
        <v>0</v>
      </c>
    </row>
    <row r="125" spans="6:13" x14ac:dyDescent="0.25">
      <c r="F125" s="92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1" t="s">
        <v>387</v>
      </c>
      <c r="J125" s="31">
        <v>92701000</v>
      </c>
      <c r="M125" s="31">
        <f t="shared" si="9"/>
        <v>0</v>
      </c>
    </row>
    <row r="126" spans="6:13" x14ac:dyDescent="0.25">
      <c r="F126" s="92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1" t="s">
        <v>387</v>
      </c>
      <c r="J126" s="31">
        <v>92701000</v>
      </c>
      <c r="M126" s="31">
        <f t="shared" si="9"/>
        <v>0</v>
      </c>
    </row>
    <row r="127" spans="6:13" x14ac:dyDescent="0.25">
      <c r="F127" s="92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1" t="s">
        <v>387</v>
      </c>
      <c r="J127" s="31">
        <v>92701000</v>
      </c>
      <c r="M127" s="31">
        <f t="shared" si="9"/>
        <v>0</v>
      </c>
    </row>
    <row r="128" spans="6:13" x14ac:dyDescent="0.25">
      <c r="F128" s="92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1" t="s">
        <v>387</v>
      </c>
      <c r="J128" s="31">
        <v>92701000</v>
      </c>
      <c r="M128" s="31">
        <f t="shared" si="9"/>
        <v>0</v>
      </c>
    </row>
    <row r="129" spans="6:13" x14ac:dyDescent="0.25">
      <c r="F129" s="92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2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2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2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2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2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2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2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2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2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2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2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2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2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2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2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2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2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2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2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2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2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2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2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2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2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2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2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2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2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2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2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2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2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2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2" t="str">
        <f t="shared" si="10"/>
        <v/>
      </c>
      <c r="G164" s="31">
        <f t="shared" ref="G164:G227" si="12">B164</f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2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2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2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2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si="9"/>
        <v>0</v>
      </c>
    </row>
    <row r="169" spans="6:13" x14ac:dyDescent="0.25">
      <c r="F169" s="92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9"/>
        <v>0</v>
      </c>
    </row>
    <row r="170" spans="6:13" x14ac:dyDescent="0.25">
      <c r="F170" s="92" t="str">
        <f t="shared" si="10"/>
        <v/>
      </c>
      <c r="G170" s="31">
        <f t="shared" si="12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9"/>
        <v>0</v>
      </c>
    </row>
    <row r="171" spans="6:13" x14ac:dyDescent="0.25">
      <c r="F171" s="92" t="str">
        <f t="shared" si="10"/>
        <v/>
      </c>
      <c r="G171" s="31">
        <f t="shared" si="12"/>
        <v>0</v>
      </c>
      <c r="H171" s="31" t="str">
        <f t="shared" si="11"/>
        <v xml:space="preserve"> </v>
      </c>
      <c r="I171" s="91" t="s">
        <v>387</v>
      </c>
      <c r="J171" s="31">
        <v>92701000</v>
      </c>
      <c r="M171" s="31">
        <f t="shared" si="9"/>
        <v>0</v>
      </c>
    </row>
    <row r="172" spans="6:13" x14ac:dyDescent="0.25">
      <c r="F172" s="92" t="str">
        <f t="shared" si="10"/>
        <v/>
      </c>
      <c r="G172" s="31">
        <f t="shared" si="12"/>
        <v>0</v>
      </c>
      <c r="H172" s="31" t="str">
        <f t="shared" si="11"/>
        <v xml:space="preserve"> </v>
      </c>
      <c r="I172" s="91" t="s">
        <v>387</v>
      </c>
      <c r="J172" s="31">
        <v>92701000</v>
      </c>
      <c r="M172" s="31">
        <f t="shared" si="9"/>
        <v>0</v>
      </c>
    </row>
    <row r="173" spans="6:13" x14ac:dyDescent="0.25">
      <c r="F173" s="92" t="str">
        <f t="shared" si="10"/>
        <v/>
      </c>
      <c r="G173" s="31">
        <f t="shared" si="12"/>
        <v>0</v>
      </c>
      <c r="H173" s="31" t="str">
        <f t="shared" si="11"/>
        <v xml:space="preserve"> </v>
      </c>
      <c r="I173" s="91" t="s">
        <v>387</v>
      </c>
      <c r="J173" s="31">
        <v>92701000</v>
      </c>
      <c r="M173" s="31">
        <f t="shared" si="9"/>
        <v>0</v>
      </c>
    </row>
    <row r="174" spans="6:13" x14ac:dyDescent="0.25">
      <c r="F174" s="92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1" t="s">
        <v>387</v>
      </c>
      <c r="J174" s="31">
        <v>92701000</v>
      </c>
      <c r="M174" s="31">
        <f t="shared" si="9"/>
        <v>0</v>
      </c>
    </row>
    <row r="175" spans="6:13" x14ac:dyDescent="0.25">
      <c r="F175" s="92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1" t="s">
        <v>387</v>
      </c>
      <c r="J175" s="31">
        <v>92701000</v>
      </c>
      <c r="M175" s="31">
        <f t="shared" si="9"/>
        <v>0</v>
      </c>
    </row>
    <row r="176" spans="6:13" x14ac:dyDescent="0.25">
      <c r="F176" s="92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1" t="s">
        <v>387</v>
      </c>
      <c r="J176" s="31">
        <v>92701000</v>
      </c>
      <c r="M176" s="31">
        <f t="shared" si="9"/>
        <v>0</v>
      </c>
    </row>
    <row r="177" spans="6:13" x14ac:dyDescent="0.25">
      <c r="F177" s="92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1" t="s">
        <v>387</v>
      </c>
      <c r="J177" s="31">
        <v>92701000</v>
      </c>
      <c r="M177" s="31">
        <f t="shared" si="9"/>
        <v>0</v>
      </c>
    </row>
    <row r="178" spans="6:13" x14ac:dyDescent="0.25">
      <c r="F178" s="92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1" t="s">
        <v>387</v>
      </c>
      <c r="J178" s="31">
        <v>92701000</v>
      </c>
      <c r="M178" s="31">
        <f t="shared" si="9"/>
        <v>0</v>
      </c>
    </row>
    <row r="179" spans="6:13" x14ac:dyDescent="0.25">
      <c r="F179" s="92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1" t="s">
        <v>387</v>
      </c>
      <c r="J179" s="31">
        <v>92701000</v>
      </c>
      <c r="M179" s="31">
        <f t="shared" si="9"/>
        <v>0</v>
      </c>
    </row>
    <row r="180" spans="6:13" x14ac:dyDescent="0.25">
      <c r="F180" s="92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1" t="s">
        <v>387</v>
      </c>
      <c r="J180" s="31">
        <v>92701000</v>
      </c>
      <c r="M180" s="31">
        <f t="shared" si="9"/>
        <v>0</v>
      </c>
    </row>
    <row r="181" spans="6:13" x14ac:dyDescent="0.25">
      <c r="F181" s="92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1" t="s">
        <v>387</v>
      </c>
      <c r="J181" s="31">
        <v>92701000</v>
      </c>
      <c r="M181" s="31">
        <f t="shared" ref="M181:M244" si="13">E181</f>
        <v>0</v>
      </c>
    </row>
    <row r="182" spans="6:13" x14ac:dyDescent="0.25">
      <c r="F182" s="92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1" t="s">
        <v>387</v>
      </c>
      <c r="J182" s="31">
        <v>92701000</v>
      </c>
      <c r="M182" s="31">
        <f t="shared" si="13"/>
        <v>0</v>
      </c>
    </row>
    <row r="183" spans="6:13" x14ac:dyDescent="0.25">
      <c r="F183" s="92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1" t="s">
        <v>387</v>
      </c>
      <c r="J183" s="31">
        <v>92701000</v>
      </c>
      <c r="M183" s="31">
        <f t="shared" si="13"/>
        <v>0</v>
      </c>
    </row>
    <row r="184" spans="6:13" x14ac:dyDescent="0.25">
      <c r="F184" s="92" t="str">
        <f t="shared" ref="F184:F247" si="14">TRIM(A184)</f>
        <v/>
      </c>
      <c r="G184" s="31">
        <f t="shared" si="12"/>
        <v>0</v>
      </c>
      <c r="H184" s="31" t="str">
        <f t="shared" ref="H184:H247" si="15">CONCATENATE(TRIM(C184)," ",D184)</f>
        <v xml:space="preserve"> </v>
      </c>
      <c r="I184" s="91" t="s">
        <v>387</v>
      </c>
      <c r="J184" s="31">
        <v>92701000</v>
      </c>
      <c r="M184" s="31">
        <f t="shared" si="13"/>
        <v>0</v>
      </c>
    </row>
    <row r="185" spans="6:13" x14ac:dyDescent="0.25">
      <c r="F185" s="92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1" t="s">
        <v>387</v>
      </c>
      <c r="J185" s="31">
        <v>92701000</v>
      </c>
      <c r="M185" s="31">
        <f t="shared" si="13"/>
        <v>0</v>
      </c>
    </row>
    <row r="186" spans="6:13" x14ac:dyDescent="0.25">
      <c r="F186" s="92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1" t="s">
        <v>387</v>
      </c>
      <c r="J186" s="31">
        <v>92701000</v>
      </c>
      <c r="M186" s="31">
        <f t="shared" si="13"/>
        <v>0</v>
      </c>
    </row>
    <row r="187" spans="6:13" x14ac:dyDescent="0.25">
      <c r="F187" s="92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1" t="s">
        <v>387</v>
      </c>
      <c r="J187" s="31">
        <v>92701000</v>
      </c>
      <c r="M187" s="31">
        <f t="shared" si="13"/>
        <v>0</v>
      </c>
    </row>
    <row r="188" spans="6:13" x14ac:dyDescent="0.25">
      <c r="F188" s="92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1" t="s">
        <v>387</v>
      </c>
      <c r="J188" s="31">
        <v>92701000</v>
      </c>
      <c r="M188" s="31">
        <f t="shared" si="13"/>
        <v>0</v>
      </c>
    </row>
    <row r="189" spans="6:13" x14ac:dyDescent="0.25">
      <c r="F189" s="92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1" t="s">
        <v>387</v>
      </c>
      <c r="J189" s="31">
        <v>92701000</v>
      </c>
      <c r="M189" s="31">
        <f t="shared" si="13"/>
        <v>0</v>
      </c>
    </row>
    <row r="190" spans="6:13" x14ac:dyDescent="0.25">
      <c r="F190" s="92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1" t="s">
        <v>387</v>
      </c>
      <c r="J190" s="31">
        <v>92701000</v>
      </c>
      <c r="M190" s="31">
        <f t="shared" si="13"/>
        <v>0</v>
      </c>
    </row>
    <row r="191" spans="6:13" x14ac:dyDescent="0.25">
      <c r="F191" s="92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1" t="s">
        <v>387</v>
      </c>
      <c r="J191" s="31">
        <v>92701000</v>
      </c>
      <c r="M191" s="31">
        <f t="shared" si="13"/>
        <v>0</v>
      </c>
    </row>
    <row r="192" spans="6:13" x14ac:dyDescent="0.25">
      <c r="F192" s="92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1" t="s">
        <v>387</v>
      </c>
      <c r="J192" s="31">
        <v>92701000</v>
      </c>
      <c r="M192" s="31">
        <f t="shared" si="13"/>
        <v>0</v>
      </c>
    </row>
    <row r="193" spans="6:13" x14ac:dyDescent="0.25">
      <c r="F193" s="92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2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2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2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2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2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2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2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2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2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2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2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2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2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2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2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2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2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2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2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2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2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2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2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2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2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2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2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2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2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2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2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2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2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2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2" t="str">
        <f t="shared" si="14"/>
        <v/>
      </c>
      <c r="G228" s="31">
        <f t="shared" ref="G228:G291" si="16">B228</f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2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2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2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2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si="13"/>
        <v>0</v>
      </c>
    </row>
    <row r="233" spans="6:13" x14ac:dyDescent="0.25">
      <c r="F233" s="92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3"/>
        <v>0</v>
      </c>
    </row>
    <row r="234" spans="6:13" x14ac:dyDescent="0.25">
      <c r="F234" s="92" t="str">
        <f t="shared" si="14"/>
        <v/>
      </c>
      <c r="G234" s="31">
        <f t="shared" si="16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3"/>
        <v>0</v>
      </c>
    </row>
    <row r="235" spans="6:13" x14ac:dyDescent="0.25">
      <c r="F235" s="92" t="str">
        <f t="shared" si="14"/>
        <v/>
      </c>
      <c r="G235" s="31">
        <f t="shared" si="16"/>
        <v>0</v>
      </c>
      <c r="H235" s="31" t="str">
        <f t="shared" si="15"/>
        <v xml:space="preserve"> </v>
      </c>
      <c r="I235" s="91" t="s">
        <v>387</v>
      </c>
      <c r="J235" s="31">
        <v>92701000</v>
      </c>
      <c r="M235" s="31">
        <f t="shared" si="13"/>
        <v>0</v>
      </c>
    </row>
    <row r="236" spans="6:13" x14ac:dyDescent="0.25">
      <c r="F236" s="92" t="str">
        <f t="shared" si="14"/>
        <v/>
      </c>
      <c r="G236" s="31">
        <f t="shared" si="16"/>
        <v>0</v>
      </c>
      <c r="H236" s="31" t="str">
        <f t="shared" si="15"/>
        <v xml:space="preserve"> </v>
      </c>
      <c r="I236" s="91" t="s">
        <v>387</v>
      </c>
      <c r="J236" s="31">
        <v>92701000</v>
      </c>
      <c r="M236" s="31">
        <f t="shared" si="13"/>
        <v>0</v>
      </c>
    </row>
    <row r="237" spans="6:13" x14ac:dyDescent="0.25">
      <c r="F237" s="92" t="str">
        <f t="shared" si="14"/>
        <v/>
      </c>
      <c r="G237" s="31">
        <f t="shared" si="16"/>
        <v>0</v>
      </c>
      <c r="H237" s="31" t="str">
        <f t="shared" si="15"/>
        <v xml:space="preserve"> </v>
      </c>
      <c r="I237" s="91" t="s">
        <v>387</v>
      </c>
      <c r="J237" s="31">
        <v>92701000</v>
      </c>
      <c r="M237" s="31">
        <f t="shared" si="13"/>
        <v>0</v>
      </c>
    </row>
    <row r="238" spans="6:13" x14ac:dyDescent="0.25">
      <c r="F238" s="92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1" t="s">
        <v>387</v>
      </c>
      <c r="J238" s="31">
        <v>92701000</v>
      </c>
      <c r="M238" s="31">
        <f t="shared" si="13"/>
        <v>0</v>
      </c>
    </row>
    <row r="239" spans="6:13" x14ac:dyDescent="0.25">
      <c r="F239" s="92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1" t="s">
        <v>387</v>
      </c>
      <c r="J239" s="31">
        <v>92701000</v>
      </c>
      <c r="M239" s="31">
        <f t="shared" si="13"/>
        <v>0</v>
      </c>
    </row>
    <row r="240" spans="6:13" x14ac:dyDescent="0.25">
      <c r="F240" s="92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1" t="s">
        <v>387</v>
      </c>
      <c r="J240" s="31">
        <v>92701000</v>
      </c>
      <c r="M240" s="31">
        <f t="shared" si="13"/>
        <v>0</v>
      </c>
    </row>
    <row r="241" spans="6:13" x14ac:dyDescent="0.25">
      <c r="F241" s="92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1" t="s">
        <v>387</v>
      </c>
      <c r="J241" s="31">
        <v>92701000</v>
      </c>
      <c r="M241" s="31">
        <f t="shared" si="13"/>
        <v>0</v>
      </c>
    </row>
    <row r="242" spans="6:13" x14ac:dyDescent="0.25">
      <c r="F242" s="92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1" t="s">
        <v>387</v>
      </c>
      <c r="J242" s="31">
        <v>92701000</v>
      </c>
      <c r="M242" s="31">
        <f t="shared" si="13"/>
        <v>0</v>
      </c>
    </row>
    <row r="243" spans="6:13" x14ac:dyDescent="0.25">
      <c r="F243" s="92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1" t="s">
        <v>387</v>
      </c>
      <c r="J243" s="31">
        <v>92701000</v>
      </c>
      <c r="M243" s="31">
        <f t="shared" si="13"/>
        <v>0</v>
      </c>
    </row>
    <row r="244" spans="6:13" x14ac:dyDescent="0.25">
      <c r="F244" s="92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1" t="s">
        <v>387</v>
      </c>
      <c r="J244" s="31">
        <v>92701000</v>
      </c>
      <c r="M244" s="31">
        <f t="shared" si="13"/>
        <v>0</v>
      </c>
    </row>
    <row r="245" spans="6:13" x14ac:dyDescent="0.25">
      <c r="F245" s="92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1" t="s">
        <v>387</v>
      </c>
      <c r="J245" s="31">
        <v>92701000</v>
      </c>
      <c r="M245" s="31">
        <f t="shared" ref="M245:M308" si="17">E245</f>
        <v>0</v>
      </c>
    </row>
    <row r="246" spans="6:13" x14ac:dyDescent="0.25">
      <c r="F246" s="92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1" t="s">
        <v>387</v>
      </c>
      <c r="J246" s="31">
        <v>92701000</v>
      </c>
      <c r="M246" s="31">
        <f t="shared" si="17"/>
        <v>0</v>
      </c>
    </row>
    <row r="247" spans="6:13" x14ac:dyDescent="0.25">
      <c r="F247" s="92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1" t="s">
        <v>387</v>
      </c>
      <c r="J247" s="31">
        <v>92701000</v>
      </c>
      <c r="M247" s="31">
        <f t="shared" si="17"/>
        <v>0</v>
      </c>
    </row>
    <row r="248" spans="6:13" x14ac:dyDescent="0.25">
      <c r="F248" s="92" t="str">
        <f t="shared" ref="F248:F311" si="18">TRIM(A248)</f>
        <v/>
      </c>
      <c r="G248" s="31">
        <f t="shared" si="16"/>
        <v>0</v>
      </c>
      <c r="H248" s="31" t="str">
        <f t="shared" ref="H248:H311" si="19">CONCATENATE(TRIM(C248)," ",D248)</f>
        <v xml:space="preserve"> </v>
      </c>
      <c r="I248" s="91" t="s">
        <v>387</v>
      </c>
      <c r="J248" s="31">
        <v>92701000</v>
      </c>
      <c r="M248" s="31">
        <f t="shared" si="17"/>
        <v>0</v>
      </c>
    </row>
    <row r="249" spans="6:13" x14ac:dyDescent="0.25">
      <c r="F249" s="92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1" t="s">
        <v>387</v>
      </c>
      <c r="J249" s="31">
        <v>92701000</v>
      </c>
      <c r="M249" s="31">
        <f t="shared" si="17"/>
        <v>0</v>
      </c>
    </row>
    <row r="250" spans="6:13" x14ac:dyDescent="0.25">
      <c r="F250" s="92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1" t="s">
        <v>387</v>
      </c>
      <c r="J250" s="31">
        <v>92701000</v>
      </c>
      <c r="M250" s="31">
        <f t="shared" si="17"/>
        <v>0</v>
      </c>
    </row>
    <row r="251" spans="6:13" x14ac:dyDescent="0.25">
      <c r="F251" s="92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1" t="s">
        <v>387</v>
      </c>
      <c r="J251" s="31">
        <v>92701000</v>
      </c>
      <c r="M251" s="31">
        <f t="shared" si="17"/>
        <v>0</v>
      </c>
    </row>
    <row r="252" spans="6:13" x14ac:dyDescent="0.25">
      <c r="F252" s="92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1" t="s">
        <v>387</v>
      </c>
      <c r="J252" s="31">
        <v>92701000</v>
      </c>
      <c r="M252" s="31">
        <f t="shared" si="17"/>
        <v>0</v>
      </c>
    </row>
    <row r="253" spans="6:13" x14ac:dyDescent="0.25">
      <c r="F253" s="92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1" t="s">
        <v>387</v>
      </c>
      <c r="J253" s="31">
        <v>92701000</v>
      </c>
      <c r="M253" s="31">
        <f t="shared" si="17"/>
        <v>0</v>
      </c>
    </row>
    <row r="254" spans="6:13" x14ac:dyDescent="0.25">
      <c r="F254" s="92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1" t="s">
        <v>387</v>
      </c>
      <c r="J254" s="31">
        <v>92701000</v>
      </c>
      <c r="M254" s="31">
        <f t="shared" si="17"/>
        <v>0</v>
      </c>
    </row>
    <row r="255" spans="6:13" x14ac:dyDescent="0.25">
      <c r="F255" s="92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1" t="s">
        <v>387</v>
      </c>
      <c r="J255" s="31">
        <v>92701000</v>
      </c>
      <c r="M255" s="31">
        <f t="shared" si="17"/>
        <v>0</v>
      </c>
    </row>
    <row r="256" spans="6:13" x14ac:dyDescent="0.25">
      <c r="F256" s="92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1" t="s">
        <v>387</v>
      </c>
      <c r="J256" s="31">
        <v>92701000</v>
      </c>
      <c r="M256" s="31">
        <f t="shared" si="17"/>
        <v>0</v>
      </c>
    </row>
    <row r="257" spans="6:13" x14ac:dyDescent="0.25">
      <c r="F257" s="92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2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2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2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2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2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2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2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2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2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2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2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2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2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2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2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2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2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2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2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2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2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2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2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2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2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2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2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2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2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2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2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2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2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2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2" t="str">
        <f t="shared" si="18"/>
        <v/>
      </c>
      <c r="G292" s="31">
        <f t="shared" ref="G292:G355" si="20">B292</f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2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2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2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2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si="17"/>
        <v>0</v>
      </c>
    </row>
    <row r="297" spans="6:13" x14ac:dyDescent="0.25">
      <c r="F297" s="92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17"/>
        <v>0</v>
      </c>
    </row>
    <row r="298" spans="6:13" x14ac:dyDescent="0.25">
      <c r="F298" s="92" t="str">
        <f t="shared" si="18"/>
        <v/>
      </c>
      <c r="G298" s="31">
        <f t="shared" si="20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17"/>
        <v>0</v>
      </c>
    </row>
    <row r="299" spans="6:13" x14ac:dyDescent="0.25">
      <c r="F299" s="92" t="str">
        <f t="shared" si="18"/>
        <v/>
      </c>
      <c r="G299" s="31">
        <f t="shared" si="20"/>
        <v>0</v>
      </c>
      <c r="H299" s="31" t="str">
        <f t="shared" si="19"/>
        <v xml:space="preserve"> </v>
      </c>
      <c r="I299" s="91" t="s">
        <v>387</v>
      </c>
      <c r="J299" s="31">
        <v>92701000</v>
      </c>
      <c r="M299" s="31">
        <f t="shared" si="17"/>
        <v>0</v>
      </c>
    </row>
    <row r="300" spans="6:13" x14ac:dyDescent="0.25">
      <c r="F300" s="92" t="str">
        <f t="shared" si="18"/>
        <v/>
      </c>
      <c r="G300" s="31">
        <f t="shared" si="20"/>
        <v>0</v>
      </c>
      <c r="H300" s="31" t="str">
        <f t="shared" si="19"/>
        <v xml:space="preserve"> </v>
      </c>
      <c r="I300" s="91" t="s">
        <v>387</v>
      </c>
      <c r="J300" s="31">
        <v>92701000</v>
      </c>
      <c r="M300" s="31">
        <f t="shared" si="17"/>
        <v>0</v>
      </c>
    </row>
    <row r="301" spans="6:13" x14ac:dyDescent="0.25">
      <c r="F301" s="92" t="str">
        <f t="shared" si="18"/>
        <v/>
      </c>
      <c r="G301" s="31">
        <f t="shared" si="20"/>
        <v>0</v>
      </c>
      <c r="H301" s="31" t="str">
        <f t="shared" si="19"/>
        <v xml:space="preserve"> </v>
      </c>
      <c r="I301" s="91" t="s">
        <v>387</v>
      </c>
      <c r="J301" s="31">
        <v>92701000</v>
      </c>
      <c r="M301" s="31">
        <f t="shared" si="17"/>
        <v>0</v>
      </c>
    </row>
    <row r="302" spans="6:13" x14ac:dyDescent="0.25">
      <c r="F302" s="92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1" t="s">
        <v>387</v>
      </c>
      <c r="J302" s="31">
        <v>92701000</v>
      </c>
      <c r="M302" s="31">
        <f t="shared" si="17"/>
        <v>0</v>
      </c>
    </row>
    <row r="303" spans="6:13" x14ac:dyDescent="0.25">
      <c r="F303" s="92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1" t="s">
        <v>387</v>
      </c>
      <c r="J303" s="31">
        <v>92701000</v>
      </c>
      <c r="M303" s="31">
        <f t="shared" si="17"/>
        <v>0</v>
      </c>
    </row>
    <row r="304" spans="6:13" x14ac:dyDescent="0.25">
      <c r="F304" s="92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1" t="s">
        <v>387</v>
      </c>
      <c r="J304" s="31">
        <v>92701000</v>
      </c>
      <c r="M304" s="31">
        <f t="shared" si="17"/>
        <v>0</v>
      </c>
    </row>
    <row r="305" spans="6:13" x14ac:dyDescent="0.25">
      <c r="F305" s="92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1" t="s">
        <v>387</v>
      </c>
      <c r="J305" s="31">
        <v>92701000</v>
      </c>
      <c r="M305" s="31">
        <f t="shared" si="17"/>
        <v>0</v>
      </c>
    </row>
    <row r="306" spans="6:13" x14ac:dyDescent="0.25">
      <c r="F306" s="92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1" t="s">
        <v>387</v>
      </c>
      <c r="J306" s="31">
        <v>92701000</v>
      </c>
      <c r="M306" s="31">
        <f t="shared" si="17"/>
        <v>0</v>
      </c>
    </row>
    <row r="307" spans="6:13" x14ac:dyDescent="0.25">
      <c r="F307" s="92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1" t="s">
        <v>387</v>
      </c>
      <c r="J307" s="31">
        <v>92701000</v>
      </c>
      <c r="M307" s="31">
        <f t="shared" si="17"/>
        <v>0</v>
      </c>
    </row>
    <row r="308" spans="6:13" x14ac:dyDescent="0.25">
      <c r="F308" s="92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1" t="s">
        <v>387</v>
      </c>
      <c r="J308" s="31">
        <v>92701000</v>
      </c>
      <c r="M308" s="31">
        <f t="shared" si="17"/>
        <v>0</v>
      </c>
    </row>
    <row r="309" spans="6:13" x14ac:dyDescent="0.25">
      <c r="F309" s="92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1" t="s">
        <v>387</v>
      </c>
      <c r="J309" s="31">
        <v>92701000</v>
      </c>
      <c r="M309" s="31">
        <f t="shared" ref="M309:M372" si="21">E309</f>
        <v>0</v>
      </c>
    </row>
    <row r="310" spans="6:13" x14ac:dyDescent="0.25">
      <c r="F310" s="92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1" t="s">
        <v>387</v>
      </c>
      <c r="J310" s="31">
        <v>92701000</v>
      </c>
      <c r="M310" s="31">
        <f t="shared" si="21"/>
        <v>0</v>
      </c>
    </row>
    <row r="311" spans="6:13" x14ac:dyDescent="0.25">
      <c r="F311" s="92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1" t="s">
        <v>387</v>
      </c>
      <c r="J311" s="31">
        <v>92701000</v>
      </c>
      <c r="M311" s="31">
        <f t="shared" si="21"/>
        <v>0</v>
      </c>
    </row>
    <row r="312" spans="6:13" x14ac:dyDescent="0.25">
      <c r="F312" s="92" t="str">
        <f t="shared" ref="F312:F375" si="22">TRIM(A312)</f>
        <v/>
      </c>
      <c r="G312" s="31">
        <f t="shared" si="20"/>
        <v>0</v>
      </c>
      <c r="H312" s="31" t="str">
        <f t="shared" ref="H312:H375" si="23">CONCATENATE(TRIM(C312)," ",D312)</f>
        <v xml:space="preserve"> </v>
      </c>
      <c r="I312" s="91" t="s">
        <v>387</v>
      </c>
      <c r="J312" s="31">
        <v>92701000</v>
      </c>
      <c r="M312" s="31">
        <f t="shared" si="21"/>
        <v>0</v>
      </c>
    </row>
    <row r="313" spans="6:13" x14ac:dyDescent="0.25">
      <c r="F313" s="92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1" t="s">
        <v>387</v>
      </c>
      <c r="J313" s="31">
        <v>92701000</v>
      </c>
      <c r="M313" s="31">
        <f t="shared" si="21"/>
        <v>0</v>
      </c>
    </row>
    <row r="314" spans="6:13" x14ac:dyDescent="0.25">
      <c r="F314" s="92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1" t="s">
        <v>387</v>
      </c>
      <c r="J314" s="31">
        <v>92701000</v>
      </c>
      <c r="M314" s="31">
        <f t="shared" si="21"/>
        <v>0</v>
      </c>
    </row>
    <row r="315" spans="6:13" x14ac:dyDescent="0.25">
      <c r="F315" s="92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1" t="s">
        <v>387</v>
      </c>
      <c r="J315" s="31">
        <v>92701000</v>
      </c>
      <c r="M315" s="31">
        <f t="shared" si="21"/>
        <v>0</v>
      </c>
    </row>
    <row r="316" spans="6:13" x14ac:dyDescent="0.25">
      <c r="F316" s="92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1" t="s">
        <v>387</v>
      </c>
      <c r="J316" s="31">
        <v>92701000</v>
      </c>
      <c r="M316" s="31">
        <f t="shared" si="21"/>
        <v>0</v>
      </c>
    </row>
    <row r="317" spans="6:13" x14ac:dyDescent="0.25">
      <c r="F317" s="92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1" t="s">
        <v>387</v>
      </c>
      <c r="J317" s="31">
        <v>92701000</v>
      </c>
      <c r="M317" s="31">
        <f t="shared" si="21"/>
        <v>0</v>
      </c>
    </row>
    <row r="318" spans="6:13" x14ac:dyDescent="0.25">
      <c r="F318" s="92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1" t="s">
        <v>387</v>
      </c>
      <c r="J318" s="31">
        <v>92701000</v>
      </c>
      <c r="M318" s="31">
        <f t="shared" si="21"/>
        <v>0</v>
      </c>
    </row>
    <row r="319" spans="6:13" x14ac:dyDescent="0.25">
      <c r="F319" s="92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1" t="s">
        <v>387</v>
      </c>
      <c r="J319" s="31">
        <v>92701000</v>
      </c>
      <c r="M319" s="31">
        <f t="shared" si="21"/>
        <v>0</v>
      </c>
    </row>
    <row r="320" spans="6:13" x14ac:dyDescent="0.25">
      <c r="F320" s="92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1" t="s">
        <v>387</v>
      </c>
      <c r="J320" s="31">
        <v>92701000</v>
      </c>
      <c r="M320" s="31">
        <f t="shared" si="21"/>
        <v>0</v>
      </c>
    </row>
    <row r="321" spans="6:13" x14ac:dyDescent="0.25">
      <c r="F321" s="92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2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2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2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2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2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2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2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2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2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2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2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2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2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2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2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2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2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2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2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2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2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2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2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2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2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2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2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2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2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2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2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2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2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2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2" t="str">
        <f t="shared" si="22"/>
        <v/>
      </c>
      <c r="G356" s="31">
        <f t="shared" ref="G356:G419" si="24">B356</f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2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2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2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2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si="21"/>
        <v>0</v>
      </c>
    </row>
    <row r="361" spans="6:13" x14ac:dyDescent="0.25">
      <c r="F361" s="92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1"/>
        <v>0</v>
      </c>
    </row>
    <row r="362" spans="6:13" x14ac:dyDescent="0.25">
      <c r="F362" s="92" t="str">
        <f t="shared" si="22"/>
        <v/>
      </c>
      <c r="G362" s="31">
        <f t="shared" si="24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1"/>
        <v>0</v>
      </c>
    </row>
    <row r="363" spans="6:13" x14ac:dyDescent="0.25">
      <c r="F363" s="92" t="str">
        <f t="shared" si="22"/>
        <v/>
      </c>
      <c r="G363" s="31">
        <f t="shared" si="24"/>
        <v>0</v>
      </c>
      <c r="H363" s="31" t="str">
        <f t="shared" si="23"/>
        <v xml:space="preserve"> </v>
      </c>
      <c r="I363" s="91" t="s">
        <v>387</v>
      </c>
      <c r="J363" s="31">
        <v>92701000</v>
      </c>
      <c r="M363" s="31">
        <f t="shared" si="21"/>
        <v>0</v>
      </c>
    </row>
    <row r="364" spans="6:13" x14ac:dyDescent="0.25">
      <c r="F364" s="92" t="str">
        <f t="shared" si="22"/>
        <v/>
      </c>
      <c r="G364" s="31">
        <f t="shared" si="24"/>
        <v>0</v>
      </c>
      <c r="H364" s="31" t="str">
        <f t="shared" si="23"/>
        <v xml:space="preserve"> </v>
      </c>
      <c r="I364" s="91" t="s">
        <v>387</v>
      </c>
      <c r="J364" s="31">
        <v>92701000</v>
      </c>
      <c r="M364" s="31">
        <f t="shared" si="21"/>
        <v>0</v>
      </c>
    </row>
    <row r="365" spans="6:13" x14ac:dyDescent="0.25">
      <c r="F365" s="92" t="str">
        <f t="shared" si="22"/>
        <v/>
      </c>
      <c r="G365" s="31">
        <f t="shared" si="24"/>
        <v>0</v>
      </c>
      <c r="H365" s="31" t="str">
        <f t="shared" si="23"/>
        <v xml:space="preserve"> </v>
      </c>
      <c r="I365" s="91" t="s">
        <v>387</v>
      </c>
      <c r="J365" s="31">
        <v>92701000</v>
      </c>
      <c r="M365" s="31">
        <f t="shared" si="21"/>
        <v>0</v>
      </c>
    </row>
    <row r="366" spans="6:13" x14ac:dyDescent="0.25">
      <c r="F366" s="92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1" t="s">
        <v>387</v>
      </c>
      <c r="J366" s="31">
        <v>92701000</v>
      </c>
      <c r="M366" s="31">
        <f t="shared" si="21"/>
        <v>0</v>
      </c>
    </row>
    <row r="367" spans="6:13" x14ac:dyDescent="0.25">
      <c r="F367" s="92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1" t="s">
        <v>387</v>
      </c>
      <c r="J367" s="31">
        <v>92701000</v>
      </c>
      <c r="M367" s="31">
        <f t="shared" si="21"/>
        <v>0</v>
      </c>
    </row>
    <row r="368" spans="6:13" x14ac:dyDescent="0.25">
      <c r="F368" s="92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1" t="s">
        <v>387</v>
      </c>
      <c r="J368" s="31">
        <v>92701000</v>
      </c>
      <c r="M368" s="31">
        <f t="shared" si="21"/>
        <v>0</v>
      </c>
    </row>
    <row r="369" spans="6:13" x14ac:dyDescent="0.25">
      <c r="F369" s="92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1" t="s">
        <v>387</v>
      </c>
      <c r="J369" s="31">
        <v>92701000</v>
      </c>
      <c r="M369" s="31">
        <f t="shared" si="21"/>
        <v>0</v>
      </c>
    </row>
    <row r="370" spans="6:13" x14ac:dyDescent="0.25">
      <c r="F370" s="92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1" t="s">
        <v>387</v>
      </c>
      <c r="J370" s="31">
        <v>92701000</v>
      </c>
      <c r="M370" s="31">
        <f t="shared" si="21"/>
        <v>0</v>
      </c>
    </row>
    <row r="371" spans="6:13" x14ac:dyDescent="0.25">
      <c r="F371" s="92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1" t="s">
        <v>387</v>
      </c>
      <c r="J371" s="31">
        <v>92701000</v>
      </c>
      <c r="M371" s="31">
        <f t="shared" si="21"/>
        <v>0</v>
      </c>
    </row>
    <row r="372" spans="6:13" x14ac:dyDescent="0.25">
      <c r="F372" s="92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1" t="s">
        <v>387</v>
      </c>
      <c r="J372" s="31">
        <v>92701000</v>
      </c>
      <c r="M372" s="31">
        <f t="shared" si="21"/>
        <v>0</v>
      </c>
    </row>
    <row r="373" spans="6:13" x14ac:dyDescent="0.25">
      <c r="F373" s="92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1" t="s">
        <v>387</v>
      </c>
      <c r="J373" s="31">
        <v>92701000</v>
      </c>
      <c r="M373" s="31">
        <f t="shared" ref="M373:M436" si="25">E373</f>
        <v>0</v>
      </c>
    </row>
    <row r="374" spans="6:13" x14ac:dyDescent="0.25">
      <c r="F374" s="92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1" t="s">
        <v>387</v>
      </c>
      <c r="J374" s="31">
        <v>92701000</v>
      </c>
      <c r="M374" s="31">
        <f t="shared" si="25"/>
        <v>0</v>
      </c>
    </row>
    <row r="375" spans="6:13" x14ac:dyDescent="0.25">
      <c r="F375" s="92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1" t="s">
        <v>387</v>
      </c>
      <c r="J375" s="31">
        <v>92701000</v>
      </c>
      <c r="M375" s="31">
        <f t="shared" si="25"/>
        <v>0</v>
      </c>
    </row>
    <row r="376" spans="6:13" x14ac:dyDescent="0.25">
      <c r="F376" s="92" t="str">
        <f t="shared" ref="F376:F439" si="26">TRIM(A376)</f>
        <v/>
      </c>
      <c r="G376" s="31">
        <f t="shared" si="24"/>
        <v>0</v>
      </c>
      <c r="H376" s="31" t="str">
        <f t="shared" ref="H376:H439" si="27">CONCATENATE(TRIM(C376)," ",D376)</f>
        <v xml:space="preserve"> </v>
      </c>
      <c r="I376" s="91" t="s">
        <v>387</v>
      </c>
      <c r="J376" s="31">
        <v>92701000</v>
      </c>
      <c r="M376" s="31">
        <f t="shared" si="25"/>
        <v>0</v>
      </c>
    </row>
    <row r="377" spans="6:13" x14ac:dyDescent="0.25">
      <c r="F377" s="92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1" t="s">
        <v>387</v>
      </c>
      <c r="J377" s="31">
        <v>92701000</v>
      </c>
      <c r="M377" s="31">
        <f t="shared" si="25"/>
        <v>0</v>
      </c>
    </row>
    <row r="378" spans="6:13" x14ac:dyDescent="0.25">
      <c r="F378" s="92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1" t="s">
        <v>387</v>
      </c>
      <c r="J378" s="31">
        <v>92701000</v>
      </c>
      <c r="M378" s="31">
        <f t="shared" si="25"/>
        <v>0</v>
      </c>
    </row>
    <row r="379" spans="6:13" x14ac:dyDescent="0.25">
      <c r="F379" s="92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1" t="s">
        <v>387</v>
      </c>
      <c r="J379" s="31">
        <v>92701000</v>
      </c>
      <c r="M379" s="31">
        <f t="shared" si="25"/>
        <v>0</v>
      </c>
    </row>
    <row r="380" spans="6:13" x14ac:dyDescent="0.25">
      <c r="F380" s="92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1" t="s">
        <v>387</v>
      </c>
      <c r="J380" s="31">
        <v>92701000</v>
      </c>
      <c r="M380" s="31">
        <f t="shared" si="25"/>
        <v>0</v>
      </c>
    </row>
    <row r="381" spans="6:13" x14ac:dyDescent="0.25">
      <c r="F381" s="92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1" t="s">
        <v>387</v>
      </c>
      <c r="J381" s="31">
        <v>92701000</v>
      </c>
      <c r="M381" s="31">
        <f t="shared" si="25"/>
        <v>0</v>
      </c>
    </row>
    <row r="382" spans="6:13" x14ac:dyDescent="0.25">
      <c r="F382" s="92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1" t="s">
        <v>387</v>
      </c>
      <c r="J382" s="31">
        <v>92701000</v>
      </c>
      <c r="M382" s="31">
        <f t="shared" si="25"/>
        <v>0</v>
      </c>
    </row>
    <row r="383" spans="6:13" x14ac:dyDescent="0.25">
      <c r="F383" s="92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1" t="s">
        <v>387</v>
      </c>
      <c r="J383" s="31">
        <v>92701000</v>
      </c>
      <c r="M383" s="31">
        <f t="shared" si="25"/>
        <v>0</v>
      </c>
    </row>
    <row r="384" spans="6:13" x14ac:dyDescent="0.25">
      <c r="F384" s="92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1" t="s">
        <v>387</v>
      </c>
      <c r="J384" s="31">
        <v>92701000</v>
      </c>
      <c r="M384" s="31">
        <f t="shared" si="25"/>
        <v>0</v>
      </c>
    </row>
    <row r="385" spans="6:13" x14ac:dyDescent="0.25">
      <c r="F385" s="92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2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2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2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2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2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2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2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2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2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2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2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2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2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2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2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2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2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2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2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2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2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2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2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2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2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2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2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2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2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2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2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2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2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2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2" t="str">
        <f t="shared" si="26"/>
        <v/>
      </c>
      <c r="G420" s="31">
        <f t="shared" ref="G420:G483" si="28">B420</f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2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2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2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2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si="25"/>
        <v>0</v>
      </c>
    </row>
    <row r="425" spans="6:13" x14ac:dyDescent="0.25">
      <c r="F425" s="92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5"/>
        <v>0</v>
      </c>
    </row>
    <row r="426" spans="6:13" x14ac:dyDescent="0.25">
      <c r="F426" s="92" t="str">
        <f t="shared" si="26"/>
        <v/>
      </c>
      <c r="G426" s="31">
        <f t="shared" si="28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5"/>
        <v>0</v>
      </c>
    </row>
    <row r="427" spans="6:13" x14ac:dyDescent="0.25">
      <c r="F427" s="92" t="str">
        <f t="shared" si="26"/>
        <v/>
      </c>
      <c r="G427" s="31">
        <f t="shared" si="28"/>
        <v>0</v>
      </c>
      <c r="H427" s="31" t="str">
        <f t="shared" si="27"/>
        <v xml:space="preserve"> </v>
      </c>
      <c r="I427" s="91" t="s">
        <v>387</v>
      </c>
      <c r="J427" s="31">
        <v>92701000</v>
      </c>
      <c r="M427" s="31">
        <f t="shared" si="25"/>
        <v>0</v>
      </c>
    </row>
    <row r="428" spans="6:13" x14ac:dyDescent="0.25">
      <c r="F428" s="92" t="str">
        <f t="shared" si="26"/>
        <v/>
      </c>
      <c r="G428" s="31">
        <f t="shared" si="28"/>
        <v>0</v>
      </c>
      <c r="H428" s="31" t="str">
        <f t="shared" si="27"/>
        <v xml:space="preserve"> </v>
      </c>
      <c r="I428" s="91" t="s">
        <v>387</v>
      </c>
      <c r="J428" s="31">
        <v>92701000</v>
      </c>
      <c r="M428" s="31">
        <f t="shared" si="25"/>
        <v>0</v>
      </c>
    </row>
    <row r="429" spans="6:13" x14ac:dyDescent="0.25">
      <c r="F429" s="92" t="str">
        <f t="shared" si="26"/>
        <v/>
      </c>
      <c r="G429" s="31">
        <f t="shared" si="28"/>
        <v>0</v>
      </c>
      <c r="H429" s="31" t="str">
        <f t="shared" si="27"/>
        <v xml:space="preserve"> </v>
      </c>
      <c r="I429" s="91" t="s">
        <v>387</v>
      </c>
      <c r="J429" s="31">
        <v>92701000</v>
      </c>
      <c r="M429" s="31">
        <f t="shared" si="25"/>
        <v>0</v>
      </c>
    </row>
    <row r="430" spans="6:13" x14ac:dyDescent="0.25">
      <c r="F430" s="92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1" t="s">
        <v>387</v>
      </c>
      <c r="J430" s="31">
        <v>92701000</v>
      </c>
      <c r="M430" s="31">
        <f t="shared" si="25"/>
        <v>0</v>
      </c>
    </row>
    <row r="431" spans="6:13" x14ac:dyDescent="0.25">
      <c r="F431" s="92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1" t="s">
        <v>387</v>
      </c>
      <c r="J431" s="31">
        <v>92701000</v>
      </c>
      <c r="M431" s="31">
        <f t="shared" si="25"/>
        <v>0</v>
      </c>
    </row>
    <row r="432" spans="6:13" x14ac:dyDescent="0.25">
      <c r="F432" s="92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1" t="s">
        <v>387</v>
      </c>
      <c r="J432" s="31">
        <v>92701000</v>
      </c>
      <c r="M432" s="31">
        <f t="shared" si="25"/>
        <v>0</v>
      </c>
    </row>
    <row r="433" spans="6:13" x14ac:dyDescent="0.25">
      <c r="F433" s="92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1" t="s">
        <v>387</v>
      </c>
      <c r="J433" s="31">
        <v>92701000</v>
      </c>
      <c r="M433" s="31">
        <f t="shared" si="25"/>
        <v>0</v>
      </c>
    </row>
    <row r="434" spans="6:13" x14ac:dyDescent="0.25">
      <c r="F434" s="92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1" t="s">
        <v>387</v>
      </c>
      <c r="J434" s="31">
        <v>92701000</v>
      </c>
      <c r="M434" s="31">
        <f t="shared" si="25"/>
        <v>0</v>
      </c>
    </row>
    <row r="435" spans="6:13" x14ac:dyDescent="0.25">
      <c r="F435" s="92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1" t="s">
        <v>387</v>
      </c>
      <c r="J435" s="31">
        <v>92701000</v>
      </c>
      <c r="M435" s="31">
        <f t="shared" si="25"/>
        <v>0</v>
      </c>
    </row>
    <row r="436" spans="6:13" x14ac:dyDescent="0.25">
      <c r="F436" s="92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1" t="s">
        <v>387</v>
      </c>
      <c r="J436" s="31">
        <v>92701000</v>
      </c>
      <c r="M436" s="31">
        <f t="shared" si="25"/>
        <v>0</v>
      </c>
    </row>
    <row r="437" spans="6:13" x14ac:dyDescent="0.25">
      <c r="F437" s="92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1" t="s">
        <v>387</v>
      </c>
      <c r="J437" s="31">
        <v>92701000</v>
      </c>
      <c r="M437" s="31">
        <f t="shared" ref="M437:M500" si="29">E437</f>
        <v>0</v>
      </c>
    </row>
    <row r="438" spans="6:13" x14ac:dyDescent="0.25">
      <c r="F438" s="92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1" t="s">
        <v>387</v>
      </c>
      <c r="J438" s="31">
        <v>92701000</v>
      </c>
      <c r="M438" s="31">
        <f t="shared" si="29"/>
        <v>0</v>
      </c>
    </row>
    <row r="439" spans="6:13" x14ac:dyDescent="0.25">
      <c r="F439" s="92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1" t="s">
        <v>387</v>
      </c>
      <c r="J439" s="31">
        <v>92701000</v>
      </c>
      <c r="M439" s="31">
        <f t="shared" si="29"/>
        <v>0</v>
      </c>
    </row>
    <row r="440" spans="6:13" x14ac:dyDescent="0.25">
      <c r="F440" s="92" t="str">
        <f t="shared" ref="F440:F503" si="30">TRIM(A440)</f>
        <v/>
      </c>
      <c r="G440" s="31">
        <f t="shared" si="28"/>
        <v>0</v>
      </c>
      <c r="H440" s="31" t="str">
        <f t="shared" ref="H440:H503" si="31">CONCATENATE(TRIM(C440)," ",D440)</f>
        <v xml:space="preserve"> </v>
      </c>
      <c r="I440" s="91" t="s">
        <v>387</v>
      </c>
      <c r="J440" s="31">
        <v>92701000</v>
      </c>
      <c r="M440" s="31">
        <f t="shared" si="29"/>
        <v>0</v>
      </c>
    </row>
    <row r="441" spans="6:13" x14ac:dyDescent="0.25">
      <c r="F441" s="92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1" t="s">
        <v>387</v>
      </c>
      <c r="J441" s="31">
        <v>92701000</v>
      </c>
      <c r="M441" s="31">
        <f t="shared" si="29"/>
        <v>0</v>
      </c>
    </row>
    <row r="442" spans="6:13" x14ac:dyDescent="0.25">
      <c r="F442" s="92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1" t="s">
        <v>387</v>
      </c>
      <c r="J442" s="31">
        <v>92701000</v>
      </c>
      <c r="M442" s="31">
        <f t="shared" si="29"/>
        <v>0</v>
      </c>
    </row>
    <row r="443" spans="6:13" x14ac:dyDescent="0.25">
      <c r="F443" s="92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1" t="s">
        <v>387</v>
      </c>
      <c r="J443" s="31">
        <v>92701000</v>
      </c>
      <c r="M443" s="31">
        <f t="shared" si="29"/>
        <v>0</v>
      </c>
    </row>
    <row r="444" spans="6:13" x14ac:dyDescent="0.25">
      <c r="F444" s="92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1" t="s">
        <v>387</v>
      </c>
      <c r="J444" s="31">
        <v>92701000</v>
      </c>
      <c r="M444" s="31">
        <f t="shared" si="29"/>
        <v>0</v>
      </c>
    </row>
    <row r="445" spans="6:13" x14ac:dyDescent="0.25">
      <c r="F445" s="92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1" t="s">
        <v>387</v>
      </c>
      <c r="J445" s="31">
        <v>92701000</v>
      </c>
      <c r="M445" s="31">
        <f t="shared" si="29"/>
        <v>0</v>
      </c>
    </row>
    <row r="446" spans="6:13" x14ac:dyDescent="0.25">
      <c r="F446" s="92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1" t="s">
        <v>387</v>
      </c>
      <c r="J446" s="31">
        <v>92701000</v>
      </c>
      <c r="M446" s="31">
        <f t="shared" si="29"/>
        <v>0</v>
      </c>
    </row>
    <row r="447" spans="6:13" x14ac:dyDescent="0.25">
      <c r="F447" s="92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1" t="s">
        <v>387</v>
      </c>
      <c r="J447" s="31">
        <v>92701000</v>
      </c>
      <c r="M447" s="31">
        <f t="shared" si="29"/>
        <v>0</v>
      </c>
    </row>
    <row r="448" spans="6:13" x14ac:dyDescent="0.25">
      <c r="F448" s="92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1" t="s">
        <v>387</v>
      </c>
      <c r="J448" s="31">
        <v>92701000</v>
      </c>
      <c r="M448" s="31">
        <f t="shared" si="29"/>
        <v>0</v>
      </c>
    </row>
    <row r="449" spans="6:13" x14ac:dyDescent="0.25">
      <c r="F449" s="92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2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2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2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2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2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2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2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2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2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2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2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2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2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2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2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2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2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2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2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2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2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2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2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2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2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2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2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2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2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2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2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2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2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2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2" t="str">
        <f t="shared" si="30"/>
        <v/>
      </c>
      <c r="G484" s="31">
        <f t="shared" ref="G484:G547" si="32">B484</f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2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2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2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2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si="29"/>
        <v>0</v>
      </c>
    </row>
    <row r="489" spans="6:13" x14ac:dyDescent="0.25">
      <c r="F489" s="92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29"/>
        <v>0</v>
      </c>
    </row>
    <row r="490" spans="6:13" x14ac:dyDescent="0.25">
      <c r="F490" s="92" t="str">
        <f t="shared" si="30"/>
        <v/>
      </c>
      <c r="G490" s="31">
        <f t="shared" si="32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29"/>
        <v>0</v>
      </c>
    </row>
    <row r="491" spans="6:13" x14ac:dyDescent="0.25">
      <c r="F491" s="92" t="str">
        <f t="shared" si="30"/>
        <v/>
      </c>
      <c r="G491" s="31">
        <f t="shared" si="32"/>
        <v>0</v>
      </c>
      <c r="H491" s="31" t="str">
        <f t="shared" si="31"/>
        <v xml:space="preserve"> </v>
      </c>
      <c r="I491" s="91" t="s">
        <v>387</v>
      </c>
      <c r="J491" s="31">
        <v>92701000</v>
      </c>
      <c r="M491" s="31">
        <f t="shared" si="29"/>
        <v>0</v>
      </c>
    </row>
    <row r="492" spans="6:13" x14ac:dyDescent="0.25">
      <c r="F492" s="92" t="str">
        <f t="shared" si="30"/>
        <v/>
      </c>
      <c r="G492" s="31">
        <f t="shared" si="32"/>
        <v>0</v>
      </c>
      <c r="H492" s="31" t="str">
        <f t="shared" si="31"/>
        <v xml:space="preserve"> </v>
      </c>
      <c r="I492" s="91" t="s">
        <v>387</v>
      </c>
      <c r="J492" s="31">
        <v>92701000</v>
      </c>
      <c r="M492" s="31">
        <f t="shared" si="29"/>
        <v>0</v>
      </c>
    </row>
    <row r="493" spans="6:13" x14ac:dyDescent="0.25">
      <c r="F493" s="92" t="str">
        <f t="shared" si="30"/>
        <v/>
      </c>
      <c r="G493" s="31">
        <f t="shared" si="32"/>
        <v>0</v>
      </c>
      <c r="H493" s="31" t="str">
        <f t="shared" si="31"/>
        <v xml:space="preserve"> </v>
      </c>
      <c r="I493" s="91" t="s">
        <v>387</v>
      </c>
      <c r="J493" s="31">
        <v>92701000</v>
      </c>
      <c r="M493" s="31">
        <f t="shared" si="29"/>
        <v>0</v>
      </c>
    </row>
    <row r="494" spans="6:13" x14ac:dyDescent="0.25">
      <c r="F494" s="92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1" t="s">
        <v>387</v>
      </c>
      <c r="J494" s="31">
        <v>92701000</v>
      </c>
      <c r="M494" s="31">
        <f t="shared" si="29"/>
        <v>0</v>
      </c>
    </row>
    <row r="495" spans="6:13" x14ac:dyDescent="0.25">
      <c r="F495" s="92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1" t="s">
        <v>387</v>
      </c>
      <c r="J495" s="31">
        <v>92701000</v>
      </c>
      <c r="M495" s="31">
        <f t="shared" si="29"/>
        <v>0</v>
      </c>
    </row>
    <row r="496" spans="6:13" x14ac:dyDescent="0.25">
      <c r="F496" s="92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1" t="s">
        <v>387</v>
      </c>
      <c r="J496" s="31">
        <v>92701000</v>
      </c>
      <c r="M496" s="31">
        <f t="shared" si="29"/>
        <v>0</v>
      </c>
    </row>
    <row r="497" spans="6:13" x14ac:dyDescent="0.25">
      <c r="F497" s="92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1" t="s">
        <v>387</v>
      </c>
      <c r="J497" s="31">
        <v>92701000</v>
      </c>
      <c r="M497" s="31">
        <f t="shared" si="29"/>
        <v>0</v>
      </c>
    </row>
    <row r="498" spans="6:13" x14ac:dyDescent="0.25">
      <c r="F498" s="92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1" t="s">
        <v>387</v>
      </c>
      <c r="J498" s="31">
        <v>92701000</v>
      </c>
      <c r="M498" s="31">
        <f t="shared" si="29"/>
        <v>0</v>
      </c>
    </row>
    <row r="499" spans="6:13" x14ac:dyDescent="0.25">
      <c r="F499" s="92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1" t="s">
        <v>387</v>
      </c>
      <c r="J499" s="31">
        <v>92701000</v>
      </c>
      <c r="M499" s="31">
        <f t="shared" si="29"/>
        <v>0</v>
      </c>
    </row>
    <row r="500" spans="6:13" x14ac:dyDescent="0.25">
      <c r="F500" s="92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1" t="s">
        <v>387</v>
      </c>
      <c r="J500" s="31">
        <v>92701000</v>
      </c>
      <c r="M500" s="31">
        <f t="shared" si="29"/>
        <v>0</v>
      </c>
    </row>
    <row r="501" spans="6:13" x14ac:dyDescent="0.25">
      <c r="F501" s="92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1" t="s">
        <v>387</v>
      </c>
      <c r="J501" s="31">
        <v>92701000</v>
      </c>
      <c r="M501" s="31">
        <f t="shared" ref="M501:M564" si="33">E501</f>
        <v>0</v>
      </c>
    </row>
    <row r="502" spans="6:13" x14ac:dyDescent="0.25">
      <c r="F502" s="92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1" t="s">
        <v>387</v>
      </c>
      <c r="J502" s="31">
        <v>92701000</v>
      </c>
      <c r="M502" s="31">
        <f t="shared" si="33"/>
        <v>0</v>
      </c>
    </row>
    <row r="503" spans="6:13" x14ac:dyDescent="0.25">
      <c r="F503" s="92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1" t="s">
        <v>387</v>
      </c>
      <c r="J503" s="31">
        <v>92701000</v>
      </c>
      <c r="M503" s="31">
        <f t="shared" si="33"/>
        <v>0</v>
      </c>
    </row>
    <row r="504" spans="6:13" x14ac:dyDescent="0.25">
      <c r="F504" s="92" t="str">
        <f t="shared" ref="F504:F567" si="34">TRIM(A504)</f>
        <v/>
      </c>
      <c r="G504" s="31">
        <f t="shared" si="32"/>
        <v>0</v>
      </c>
      <c r="H504" s="31" t="str">
        <f t="shared" ref="H504:H567" si="35">CONCATENATE(TRIM(C504)," ",D504)</f>
        <v xml:space="preserve"> </v>
      </c>
      <c r="I504" s="91" t="s">
        <v>387</v>
      </c>
      <c r="J504" s="31">
        <v>92701000</v>
      </c>
      <c r="M504" s="31">
        <f t="shared" si="33"/>
        <v>0</v>
      </c>
    </row>
    <row r="505" spans="6:13" x14ac:dyDescent="0.25">
      <c r="F505" s="92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1" t="s">
        <v>387</v>
      </c>
      <c r="J505" s="31">
        <v>92701000</v>
      </c>
      <c r="M505" s="31">
        <f t="shared" si="33"/>
        <v>0</v>
      </c>
    </row>
    <row r="506" spans="6:13" x14ac:dyDescent="0.25">
      <c r="F506" s="92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1" t="s">
        <v>387</v>
      </c>
      <c r="J506" s="31">
        <v>92701000</v>
      </c>
      <c r="M506" s="31">
        <f t="shared" si="33"/>
        <v>0</v>
      </c>
    </row>
    <row r="507" spans="6:13" x14ac:dyDescent="0.25">
      <c r="F507" s="92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1" t="s">
        <v>387</v>
      </c>
      <c r="J507" s="31">
        <v>92701000</v>
      </c>
      <c r="M507" s="31">
        <f t="shared" si="33"/>
        <v>0</v>
      </c>
    </row>
    <row r="508" spans="6:13" x14ac:dyDescent="0.25">
      <c r="F508" s="92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1" t="s">
        <v>387</v>
      </c>
      <c r="J508" s="31">
        <v>92701000</v>
      </c>
      <c r="M508" s="31">
        <f t="shared" si="33"/>
        <v>0</v>
      </c>
    </row>
    <row r="509" spans="6:13" x14ac:dyDescent="0.25">
      <c r="F509" s="92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1" t="s">
        <v>387</v>
      </c>
      <c r="J509" s="31">
        <v>92701000</v>
      </c>
      <c r="M509" s="31">
        <f t="shared" si="33"/>
        <v>0</v>
      </c>
    </row>
    <row r="510" spans="6:13" x14ac:dyDescent="0.25">
      <c r="F510" s="92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1" t="s">
        <v>387</v>
      </c>
      <c r="J510" s="31">
        <v>92701000</v>
      </c>
      <c r="M510" s="31">
        <f t="shared" si="33"/>
        <v>0</v>
      </c>
    </row>
    <row r="511" spans="6:13" x14ac:dyDescent="0.25">
      <c r="F511" s="92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1" t="s">
        <v>387</v>
      </c>
      <c r="J511" s="31">
        <v>92701000</v>
      </c>
      <c r="M511" s="31">
        <f t="shared" si="33"/>
        <v>0</v>
      </c>
    </row>
    <row r="512" spans="6:13" x14ac:dyDescent="0.25">
      <c r="F512" s="92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1" t="s">
        <v>387</v>
      </c>
      <c r="J512" s="31">
        <v>92701000</v>
      </c>
      <c r="M512" s="31">
        <f t="shared" si="33"/>
        <v>0</v>
      </c>
    </row>
    <row r="513" spans="6:13" x14ac:dyDescent="0.25">
      <c r="F513" s="92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2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2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2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2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2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2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2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2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2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2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2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2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2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2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2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2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2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2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2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2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2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2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2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2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2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2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2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2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2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2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2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2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2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2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2" t="str">
        <f t="shared" si="34"/>
        <v/>
      </c>
      <c r="G548" s="31">
        <f t="shared" ref="G548:G611" si="36">B548</f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2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2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2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2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si="33"/>
        <v>0</v>
      </c>
    </row>
    <row r="553" spans="6:13" x14ac:dyDescent="0.25">
      <c r="F553" s="92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3"/>
        <v>0</v>
      </c>
    </row>
    <row r="554" spans="6:13" x14ac:dyDescent="0.25">
      <c r="F554" s="92" t="str">
        <f t="shared" si="34"/>
        <v/>
      </c>
      <c r="G554" s="31">
        <f t="shared" si="36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3"/>
        <v>0</v>
      </c>
    </row>
    <row r="555" spans="6:13" x14ac:dyDescent="0.25">
      <c r="F555" s="92" t="str">
        <f t="shared" si="34"/>
        <v/>
      </c>
      <c r="G555" s="31">
        <f t="shared" si="36"/>
        <v>0</v>
      </c>
      <c r="H555" s="31" t="str">
        <f t="shared" si="35"/>
        <v xml:space="preserve"> </v>
      </c>
      <c r="I555" s="91" t="s">
        <v>387</v>
      </c>
      <c r="J555" s="31">
        <v>92701000</v>
      </c>
      <c r="M555" s="31">
        <f t="shared" si="33"/>
        <v>0</v>
      </c>
    </row>
    <row r="556" spans="6:13" x14ac:dyDescent="0.25">
      <c r="F556" s="92" t="str">
        <f t="shared" si="34"/>
        <v/>
      </c>
      <c r="G556" s="31">
        <f t="shared" si="36"/>
        <v>0</v>
      </c>
      <c r="H556" s="31" t="str">
        <f t="shared" si="35"/>
        <v xml:space="preserve"> </v>
      </c>
      <c r="I556" s="91" t="s">
        <v>387</v>
      </c>
      <c r="J556" s="31">
        <v>92701000</v>
      </c>
      <c r="M556" s="31">
        <f t="shared" si="33"/>
        <v>0</v>
      </c>
    </row>
    <row r="557" spans="6:13" x14ac:dyDescent="0.25">
      <c r="F557" s="92" t="str">
        <f t="shared" si="34"/>
        <v/>
      </c>
      <c r="G557" s="31">
        <f t="shared" si="36"/>
        <v>0</v>
      </c>
      <c r="H557" s="31" t="str">
        <f t="shared" si="35"/>
        <v xml:space="preserve"> </v>
      </c>
      <c r="I557" s="91" t="s">
        <v>387</v>
      </c>
      <c r="J557" s="31">
        <v>92701000</v>
      </c>
      <c r="M557" s="31">
        <f t="shared" si="33"/>
        <v>0</v>
      </c>
    </row>
    <row r="558" spans="6:13" x14ac:dyDescent="0.25">
      <c r="F558" s="92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1" t="s">
        <v>387</v>
      </c>
      <c r="J558" s="31">
        <v>92701000</v>
      </c>
      <c r="M558" s="31">
        <f t="shared" si="33"/>
        <v>0</v>
      </c>
    </row>
    <row r="559" spans="6:13" x14ac:dyDescent="0.25">
      <c r="F559" s="92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1" t="s">
        <v>387</v>
      </c>
      <c r="J559" s="31">
        <v>92701000</v>
      </c>
      <c r="M559" s="31">
        <f t="shared" si="33"/>
        <v>0</v>
      </c>
    </row>
    <row r="560" spans="6:13" x14ac:dyDescent="0.25">
      <c r="F560" s="92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1" t="s">
        <v>387</v>
      </c>
      <c r="J560" s="31">
        <v>92701000</v>
      </c>
      <c r="M560" s="31">
        <f t="shared" si="33"/>
        <v>0</v>
      </c>
    </row>
    <row r="561" spans="6:13" x14ac:dyDescent="0.25">
      <c r="F561" s="92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1" t="s">
        <v>387</v>
      </c>
      <c r="J561" s="31">
        <v>92701000</v>
      </c>
      <c r="M561" s="31">
        <f t="shared" si="33"/>
        <v>0</v>
      </c>
    </row>
    <row r="562" spans="6:13" x14ac:dyDescent="0.25">
      <c r="F562" s="92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1" t="s">
        <v>387</v>
      </c>
      <c r="J562" s="31">
        <v>92701000</v>
      </c>
      <c r="M562" s="31">
        <f t="shared" si="33"/>
        <v>0</v>
      </c>
    </row>
    <row r="563" spans="6:13" x14ac:dyDescent="0.25">
      <c r="F563" s="92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1" t="s">
        <v>387</v>
      </c>
      <c r="J563" s="31">
        <v>92701000</v>
      </c>
      <c r="M563" s="31">
        <f t="shared" si="33"/>
        <v>0</v>
      </c>
    </row>
    <row r="564" spans="6:13" x14ac:dyDescent="0.25">
      <c r="F564" s="92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1" t="s">
        <v>387</v>
      </c>
      <c r="J564" s="31">
        <v>92701000</v>
      </c>
      <c r="M564" s="31">
        <f t="shared" si="33"/>
        <v>0</v>
      </c>
    </row>
    <row r="565" spans="6:13" x14ac:dyDescent="0.25">
      <c r="F565" s="92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1" t="s">
        <v>387</v>
      </c>
      <c r="J565" s="31">
        <v>92701000</v>
      </c>
      <c r="M565" s="31">
        <f t="shared" ref="M565:M628" si="37">E565</f>
        <v>0</v>
      </c>
    </row>
    <row r="566" spans="6:13" x14ac:dyDescent="0.25">
      <c r="F566" s="92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1" t="s">
        <v>387</v>
      </c>
      <c r="J566" s="31">
        <v>92701000</v>
      </c>
      <c r="M566" s="31">
        <f t="shared" si="37"/>
        <v>0</v>
      </c>
    </row>
    <row r="567" spans="6:13" x14ac:dyDescent="0.25">
      <c r="F567" s="92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1" t="s">
        <v>387</v>
      </c>
      <c r="J567" s="31">
        <v>92701000</v>
      </c>
      <c r="M567" s="31">
        <f t="shared" si="37"/>
        <v>0</v>
      </c>
    </row>
    <row r="568" spans="6:13" x14ac:dyDescent="0.25">
      <c r="F568" s="92" t="str">
        <f t="shared" ref="F568:F631" si="38">TRIM(A568)</f>
        <v/>
      </c>
      <c r="G568" s="31">
        <f t="shared" si="36"/>
        <v>0</v>
      </c>
      <c r="H568" s="31" t="str">
        <f t="shared" ref="H568:H631" si="39">CONCATENATE(TRIM(C568)," ",D568)</f>
        <v xml:space="preserve"> </v>
      </c>
      <c r="I568" s="91" t="s">
        <v>387</v>
      </c>
      <c r="J568" s="31">
        <v>92701000</v>
      </c>
      <c r="M568" s="31">
        <f t="shared" si="37"/>
        <v>0</v>
      </c>
    </row>
    <row r="569" spans="6:13" x14ac:dyDescent="0.25">
      <c r="F569" s="92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1" t="s">
        <v>387</v>
      </c>
      <c r="J569" s="31">
        <v>92701000</v>
      </c>
      <c r="M569" s="31">
        <f t="shared" si="37"/>
        <v>0</v>
      </c>
    </row>
    <row r="570" spans="6:13" x14ac:dyDescent="0.25">
      <c r="F570" s="92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1" t="s">
        <v>387</v>
      </c>
      <c r="J570" s="31">
        <v>92701000</v>
      </c>
      <c r="M570" s="31">
        <f t="shared" si="37"/>
        <v>0</v>
      </c>
    </row>
    <row r="571" spans="6:13" x14ac:dyDescent="0.25">
      <c r="F571" s="92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1" t="s">
        <v>387</v>
      </c>
      <c r="J571" s="31">
        <v>92701000</v>
      </c>
      <c r="M571" s="31">
        <f t="shared" si="37"/>
        <v>0</v>
      </c>
    </row>
    <row r="572" spans="6:13" x14ac:dyDescent="0.25">
      <c r="F572" s="92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1" t="s">
        <v>387</v>
      </c>
      <c r="J572" s="31">
        <v>92701000</v>
      </c>
      <c r="M572" s="31">
        <f t="shared" si="37"/>
        <v>0</v>
      </c>
    </row>
    <row r="573" spans="6:13" x14ac:dyDescent="0.25">
      <c r="F573" s="92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1" t="s">
        <v>387</v>
      </c>
      <c r="J573" s="31">
        <v>92701000</v>
      </c>
      <c r="M573" s="31">
        <f t="shared" si="37"/>
        <v>0</v>
      </c>
    </row>
    <row r="574" spans="6:13" x14ac:dyDescent="0.25">
      <c r="F574" s="92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1" t="s">
        <v>387</v>
      </c>
      <c r="J574" s="31">
        <v>92701000</v>
      </c>
      <c r="M574" s="31">
        <f t="shared" si="37"/>
        <v>0</v>
      </c>
    </row>
    <row r="575" spans="6:13" x14ac:dyDescent="0.25">
      <c r="F575" s="92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1" t="s">
        <v>387</v>
      </c>
      <c r="J575" s="31">
        <v>92701000</v>
      </c>
      <c r="M575" s="31">
        <f t="shared" si="37"/>
        <v>0</v>
      </c>
    </row>
    <row r="576" spans="6:13" x14ac:dyDescent="0.25">
      <c r="F576" s="92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1" t="s">
        <v>387</v>
      </c>
      <c r="J576" s="31">
        <v>92701000</v>
      </c>
      <c r="M576" s="31">
        <f t="shared" si="37"/>
        <v>0</v>
      </c>
    </row>
    <row r="577" spans="6:13" x14ac:dyDescent="0.25">
      <c r="F577" s="92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2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2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2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2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2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2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2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2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2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2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2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2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2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2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2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2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2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2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2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2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2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2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2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2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2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2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2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2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2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2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2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2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2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2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2" t="str">
        <f t="shared" si="38"/>
        <v/>
      </c>
      <c r="G612" s="31">
        <f t="shared" ref="G612:G675" si="40">B612</f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2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2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2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2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si="37"/>
        <v>0</v>
      </c>
    </row>
    <row r="617" spans="6:13" x14ac:dyDescent="0.25">
      <c r="F617" s="92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37"/>
        <v>0</v>
      </c>
    </row>
    <row r="618" spans="6:13" x14ac:dyDescent="0.25">
      <c r="F618" s="92" t="str">
        <f t="shared" si="38"/>
        <v/>
      </c>
      <c r="G618" s="31">
        <f t="shared" si="40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37"/>
        <v>0</v>
      </c>
    </row>
    <row r="619" spans="6:13" x14ac:dyDescent="0.25">
      <c r="F619" s="92" t="str">
        <f t="shared" si="38"/>
        <v/>
      </c>
      <c r="G619" s="31">
        <f t="shared" si="40"/>
        <v>0</v>
      </c>
      <c r="H619" s="31" t="str">
        <f t="shared" si="39"/>
        <v xml:space="preserve"> </v>
      </c>
      <c r="I619" s="91" t="s">
        <v>387</v>
      </c>
      <c r="J619" s="31">
        <v>92701000</v>
      </c>
      <c r="M619" s="31">
        <f t="shared" si="37"/>
        <v>0</v>
      </c>
    </row>
    <row r="620" spans="6:13" x14ac:dyDescent="0.25">
      <c r="F620" s="92" t="str">
        <f t="shared" si="38"/>
        <v/>
      </c>
      <c r="G620" s="31">
        <f t="shared" si="40"/>
        <v>0</v>
      </c>
      <c r="H620" s="31" t="str">
        <f t="shared" si="39"/>
        <v xml:space="preserve"> </v>
      </c>
      <c r="I620" s="91" t="s">
        <v>387</v>
      </c>
      <c r="J620" s="31">
        <v>92701000</v>
      </c>
      <c r="M620" s="31">
        <f t="shared" si="37"/>
        <v>0</v>
      </c>
    </row>
    <row r="621" spans="6:13" x14ac:dyDescent="0.25">
      <c r="F621" s="92" t="str">
        <f t="shared" si="38"/>
        <v/>
      </c>
      <c r="G621" s="31">
        <f t="shared" si="40"/>
        <v>0</v>
      </c>
      <c r="H621" s="31" t="str">
        <f t="shared" si="39"/>
        <v xml:space="preserve"> </v>
      </c>
      <c r="I621" s="91" t="s">
        <v>387</v>
      </c>
      <c r="J621" s="31">
        <v>92701000</v>
      </c>
      <c r="M621" s="31">
        <f t="shared" si="37"/>
        <v>0</v>
      </c>
    </row>
    <row r="622" spans="6:13" x14ac:dyDescent="0.25">
      <c r="F622" s="92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1" t="s">
        <v>387</v>
      </c>
      <c r="J622" s="31">
        <v>92701000</v>
      </c>
      <c r="M622" s="31">
        <f t="shared" si="37"/>
        <v>0</v>
      </c>
    </row>
    <row r="623" spans="6:13" x14ac:dyDescent="0.25">
      <c r="F623" s="92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1" t="s">
        <v>387</v>
      </c>
      <c r="J623" s="31">
        <v>92701000</v>
      </c>
      <c r="M623" s="31">
        <f t="shared" si="37"/>
        <v>0</v>
      </c>
    </row>
    <row r="624" spans="6:13" x14ac:dyDescent="0.25">
      <c r="F624" s="92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1" t="s">
        <v>387</v>
      </c>
      <c r="J624" s="31">
        <v>92701000</v>
      </c>
      <c r="M624" s="31">
        <f t="shared" si="37"/>
        <v>0</v>
      </c>
    </row>
    <row r="625" spans="6:13" x14ac:dyDescent="0.25">
      <c r="F625" s="92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1" t="s">
        <v>387</v>
      </c>
      <c r="J625" s="31">
        <v>92701000</v>
      </c>
      <c r="M625" s="31">
        <f t="shared" si="37"/>
        <v>0</v>
      </c>
    </row>
    <row r="626" spans="6:13" x14ac:dyDescent="0.25">
      <c r="F626" s="92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1" t="s">
        <v>387</v>
      </c>
      <c r="J626" s="31">
        <v>92701000</v>
      </c>
      <c r="M626" s="31">
        <f t="shared" si="37"/>
        <v>0</v>
      </c>
    </row>
    <row r="627" spans="6:13" x14ac:dyDescent="0.25">
      <c r="F627" s="92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1" t="s">
        <v>387</v>
      </c>
      <c r="J627" s="31">
        <v>92701000</v>
      </c>
      <c r="M627" s="31">
        <f t="shared" si="37"/>
        <v>0</v>
      </c>
    </row>
    <row r="628" spans="6:13" x14ac:dyDescent="0.25">
      <c r="F628" s="92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1" t="s">
        <v>387</v>
      </c>
      <c r="J628" s="31">
        <v>92701000</v>
      </c>
      <c r="M628" s="31">
        <f t="shared" si="37"/>
        <v>0</v>
      </c>
    </row>
    <row r="629" spans="6:13" x14ac:dyDescent="0.25">
      <c r="F629" s="92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1" t="s">
        <v>387</v>
      </c>
      <c r="J629" s="31">
        <v>92701000</v>
      </c>
      <c r="M629" s="31">
        <f t="shared" ref="M629:M692" si="41">E629</f>
        <v>0</v>
      </c>
    </row>
    <row r="630" spans="6:13" x14ac:dyDescent="0.25">
      <c r="F630" s="92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1" t="s">
        <v>387</v>
      </c>
      <c r="J630" s="31">
        <v>92701000</v>
      </c>
      <c r="M630" s="31">
        <f t="shared" si="41"/>
        <v>0</v>
      </c>
    </row>
    <row r="631" spans="6:13" x14ac:dyDescent="0.25">
      <c r="F631" s="92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1" t="s">
        <v>387</v>
      </c>
      <c r="J631" s="31">
        <v>92701000</v>
      </c>
      <c r="M631" s="31">
        <f t="shared" si="41"/>
        <v>0</v>
      </c>
    </row>
    <row r="632" spans="6:13" x14ac:dyDescent="0.25">
      <c r="F632" s="92" t="str">
        <f t="shared" ref="F632:F695" si="42">TRIM(A632)</f>
        <v/>
      </c>
      <c r="G632" s="31">
        <f t="shared" si="40"/>
        <v>0</v>
      </c>
      <c r="H632" s="31" t="str">
        <f t="shared" ref="H632:H695" si="43">CONCATENATE(TRIM(C632)," ",D632)</f>
        <v xml:space="preserve"> </v>
      </c>
      <c r="I632" s="91" t="s">
        <v>387</v>
      </c>
      <c r="J632" s="31">
        <v>92701000</v>
      </c>
      <c r="M632" s="31">
        <f t="shared" si="41"/>
        <v>0</v>
      </c>
    </row>
    <row r="633" spans="6:13" x14ac:dyDescent="0.25">
      <c r="F633" s="92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1" t="s">
        <v>387</v>
      </c>
      <c r="J633" s="31">
        <v>92701000</v>
      </c>
      <c r="M633" s="31">
        <f t="shared" si="41"/>
        <v>0</v>
      </c>
    </row>
    <row r="634" spans="6:13" x14ac:dyDescent="0.25">
      <c r="F634" s="92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1" t="s">
        <v>387</v>
      </c>
      <c r="J634" s="31">
        <v>92701000</v>
      </c>
      <c r="M634" s="31">
        <f t="shared" si="41"/>
        <v>0</v>
      </c>
    </row>
    <row r="635" spans="6:13" x14ac:dyDescent="0.25">
      <c r="F635" s="92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1" t="s">
        <v>387</v>
      </c>
      <c r="J635" s="31">
        <v>92701000</v>
      </c>
      <c r="M635" s="31">
        <f t="shared" si="41"/>
        <v>0</v>
      </c>
    </row>
    <row r="636" spans="6:13" x14ac:dyDescent="0.25">
      <c r="F636" s="92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1" t="s">
        <v>387</v>
      </c>
      <c r="J636" s="31">
        <v>92701000</v>
      </c>
      <c r="M636" s="31">
        <f t="shared" si="41"/>
        <v>0</v>
      </c>
    </row>
    <row r="637" spans="6:13" x14ac:dyDescent="0.25">
      <c r="F637" s="92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1" t="s">
        <v>387</v>
      </c>
      <c r="J637" s="31">
        <v>92701000</v>
      </c>
      <c r="M637" s="31">
        <f t="shared" si="41"/>
        <v>0</v>
      </c>
    </row>
    <row r="638" spans="6:13" x14ac:dyDescent="0.25">
      <c r="F638" s="92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1" t="s">
        <v>387</v>
      </c>
      <c r="J638" s="31">
        <v>92701000</v>
      </c>
      <c r="M638" s="31">
        <f t="shared" si="41"/>
        <v>0</v>
      </c>
    </row>
    <row r="639" spans="6:13" x14ac:dyDescent="0.25">
      <c r="F639" s="92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1" t="s">
        <v>387</v>
      </c>
      <c r="J639" s="31">
        <v>92701000</v>
      </c>
      <c r="M639" s="31">
        <f t="shared" si="41"/>
        <v>0</v>
      </c>
    </row>
    <row r="640" spans="6:13" x14ac:dyDescent="0.25">
      <c r="F640" s="92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1" t="s">
        <v>387</v>
      </c>
      <c r="J640" s="31">
        <v>92701000</v>
      </c>
      <c r="M640" s="31">
        <f t="shared" si="41"/>
        <v>0</v>
      </c>
    </row>
    <row r="641" spans="6:13" x14ac:dyDescent="0.25">
      <c r="F641" s="92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2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2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2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2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2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2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2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2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2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2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2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2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2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2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2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2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2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2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2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2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2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2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2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2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2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2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2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2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2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2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2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2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2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2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2" t="str">
        <f t="shared" si="42"/>
        <v/>
      </c>
      <c r="G676" s="31">
        <f t="shared" ref="G676:G739" si="44">B676</f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2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2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2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2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si="41"/>
        <v>0</v>
      </c>
    </row>
    <row r="681" spans="6:13" x14ac:dyDescent="0.25">
      <c r="F681" s="92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1"/>
        <v>0</v>
      </c>
    </row>
    <row r="682" spans="6:13" x14ac:dyDescent="0.25">
      <c r="F682" s="92" t="str">
        <f t="shared" si="42"/>
        <v/>
      </c>
      <c r="G682" s="31">
        <f t="shared" si="44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1"/>
        <v>0</v>
      </c>
    </row>
    <row r="683" spans="6:13" x14ac:dyDescent="0.25">
      <c r="F683" s="92" t="str">
        <f t="shared" si="42"/>
        <v/>
      </c>
      <c r="G683" s="31">
        <f t="shared" si="44"/>
        <v>0</v>
      </c>
      <c r="H683" s="31" t="str">
        <f t="shared" si="43"/>
        <v xml:space="preserve"> </v>
      </c>
      <c r="I683" s="91" t="s">
        <v>387</v>
      </c>
      <c r="J683" s="31">
        <v>92701000</v>
      </c>
      <c r="M683" s="31">
        <f t="shared" si="41"/>
        <v>0</v>
      </c>
    </row>
    <row r="684" spans="6:13" x14ac:dyDescent="0.25">
      <c r="F684" s="92" t="str">
        <f t="shared" si="42"/>
        <v/>
      </c>
      <c r="G684" s="31">
        <f t="shared" si="44"/>
        <v>0</v>
      </c>
      <c r="H684" s="31" t="str">
        <f t="shared" si="43"/>
        <v xml:space="preserve"> </v>
      </c>
      <c r="I684" s="91" t="s">
        <v>387</v>
      </c>
      <c r="J684" s="31">
        <v>92701000</v>
      </c>
      <c r="M684" s="31">
        <f t="shared" si="41"/>
        <v>0</v>
      </c>
    </row>
    <row r="685" spans="6:13" x14ac:dyDescent="0.25">
      <c r="F685" s="92" t="str">
        <f t="shared" si="42"/>
        <v/>
      </c>
      <c r="G685" s="31">
        <f t="shared" si="44"/>
        <v>0</v>
      </c>
      <c r="H685" s="31" t="str">
        <f t="shared" si="43"/>
        <v xml:space="preserve"> </v>
      </c>
      <c r="I685" s="91" t="s">
        <v>387</v>
      </c>
      <c r="J685" s="31">
        <v>92701000</v>
      </c>
      <c r="M685" s="31">
        <f t="shared" si="41"/>
        <v>0</v>
      </c>
    </row>
    <row r="686" spans="6:13" x14ac:dyDescent="0.25">
      <c r="F686" s="92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1" t="s">
        <v>387</v>
      </c>
      <c r="J686" s="31">
        <v>92701000</v>
      </c>
      <c r="M686" s="31">
        <f t="shared" si="41"/>
        <v>0</v>
      </c>
    </row>
    <row r="687" spans="6:13" x14ac:dyDescent="0.25">
      <c r="F687" s="92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1" t="s">
        <v>387</v>
      </c>
      <c r="J687" s="31">
        <v>92701000</v>
      </c>
      <c r="M687" s="31">
        <f t="shared" si="41"/>
        <v>0</v>
      </c>
    </row>
    <row r="688" spans="6:13" x14ac:dyDescent="0.25">
      <c r="F688" s="92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1" t="s">
        <v>387</v>
      </c>
      <c r="J688" s="31">
        <v>92701000</v>
      </c>
      <c r="M688" s="31">
        <f t="shared" si="41"/>
        <v>0</v>
      </c>
    </row>
    <row r="689" spans="6:13" x14ac:dyDescent="0.25">
      <c r="F689" s="92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1" t="s">
        <v>387</v>
      </c>
      <c r="J689" s="31">
        <v>92701000</v>
      </c>
      <c r="M689" s="31">
        <f t="shared" si="41"/>
        <v>0</v>
      </c>
    </row>
    <row r="690" spans="6:13" x14ac:dyDescent="0.25">
      <c r="F690" s="92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1" t="s">
        <v>387</v>
      </c>
      <c r="J690" s="31">
        <v>92701000</v>
      </c>
      <c r="M690" s="31">
        <f t="shared" si="41"/>
        <v>0</v>
      </c>
    </row>
    <row r="691" spans="6:13" x14ac:dyDescent="0.25">
      <c r="F691" s="92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1" t="s">
        <v>387</v>
      </c>
      <c r="J691" s="31">
        <v>92701000</v>
      </c>
      <c r="M691" s="31">
        <f t="shared" si="41"/>
        <v>0</v>
      </c>
    </row>
    <row r="692" spans="6:13" x14ac:dyDescent="0.25">
      <c r="F692" s="92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1" t="s">
        <v>387</v>
      </c>
      <c r="J692" s="31">
        <v>92701000</v>
      </c>
      <c r="M692" s="31">
        <f t="shared" si="41"/>
        <v>0</v>
      </c>
    </row>
    <row r="693" spans="6:13" x14ac:dyDescent="0.25">
      <c r="F693" s="92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1" t="s">
        <v>387</v>
      </c>
      <c r="J693" s="31">
        <v>92701000</v>
      </c>
      <c r="M693" s="31">
        <f t="shared" ref="M693:M756" si="45">E693</f>
        <v>0</v>
      </c>
    </row>
    <row r="694" spans="6:13" x14ac:dyDescent="0.25">
      <c r="F694" s="92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1" t="s">
        <v>387</v>
      </c>
      <c r="J694" s="31">
        <v>92701000</v>
      </c>
      <c r="M694" s="31">
        <f t="shared" si="45"/>
        <v>0</v>
      </c>
    </row>
    <row r="695" spans="6:13" x14ac:dyDescent="0.25">
      <c r="F695" s="92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1" t="s">
        <v>387</v>
      </c>
      <c r="J695" s="31">
        <v>92701000</v>
      </c>
      <c r="M695" s="31">
        <f t="shared" si="45"/>
        <v>0</v>
      </c>
    </row>
    <row r="696" spans="6:13" x14ac:dyDescent="0.25">
      <c r="F696" s="92" t="str">
        <f t="shared" ref="F696:F759" si="46">TRIM(A696)</f>
        <v/>
      </c>
      <c r="G696" s="31">
        <f t="shared" si="44"/>
        <v>0</v>
      </c>
      <c r="H696" s="31" t="str">
        <f t="shared" ref="H696:H759" si="47">CONCATENATE(TRIM(C696)," ",D696)</f>
        <v xml:space="preserve"> </v>
      </c>
      <c r="I696" s="91" t="s">
        <v>387</v>
      </c>
      <c r="J696" s="31">
        <v>92701000</v>
      </c>
      <c r="M696" s="31">
        <f t="shared" si="45"/>
        <v>0</v>
      </c>
    </row>
    <row r="697" spans="6:13" x14ac:dyDescent="0.25">
      <c r="F697" s="92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1" t="s">
        <v>387</v>
      </c>
      <c r="J697" s="31">
        <v>92701000</v>
      </c>
      <c r="M697" s="31">
        <f t="shared" si="45"/>
        <v>0</v>
      </c>
    </row>
    <row r="698" spans="6:13" x14ac:dyDescent="0.25">
      <c r="F698" s="92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1" t="s">
        <v>387</v>
      </c>
      <c r="J698" s="31">
        <v>92701000</v>
      </c>
      <c r="M698" s="31">
        <f t="shared" si="45"/>
        <v>0</v>
      </c>
    </row>
    <row r="699" spans="6:13" x14ac:dyDescent="0.25">
      <c r="F699" s="92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1" t="s">
        <v>387</v>
      </c>
      <c r="J699" s="31">
        <v>92701000</v>
      </c>
      <c r="M699" s="31">
        <f t="shared" si="45"/>
        <v>0</v>
      </c>
    </row>
    <row r="700" spans="6:13" x14ac:dyDescent="0.25">
      <c r="F700" s="92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1" t="s">
        <v>387</v>
      </c>
      <c r="J700" s="31">
        <v>92701000</v>
      </c>
      <c r="M700" s="31">
        <f t="shared" si="45"/>
        <v>0</v>
      </c>
    </row>
    <row r="701" spans="6:13" x14ac:dyDescent="0.25">
      <c r="F701" s="92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1" t="s">
        <v>387</v>
      </c>
      <c r="J701" s="31">
        <v>92701000</v>
      </c>
      <c r="M701" s="31">
        <f t="shared" si="45"/>
        <v>0</v>
      </c>
    </row>
    <row r="702" spans="6:13" x14ac:dyDescent="0.25">
      <c r="F702" s="92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1" t="s">
        <v>387</v>
      </c>
      <c r="J702" s="31">
        <v>92701000</v>
      </c>
      <c r="M702" s="31">
        <f t="shared" si="45"/>
        <v>0</v>
      </c>
    </row>
    <row r="703" spans="6:13" x14ac:dyDescent="0.25">
      <c r="F703" s="92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1" t="s">
        <v>387</v>
      </c>
      <c r="J703" s="31">
        <v>92701000</v>
      </c>
      <c r="M703" s="31">
        <f t="shared" si="45"/>
        <v>0</v>
      </c>
    </row>
    <row r="704" spans="6:13" x14ac:dyDescent="0.25">
      <c r="F704" s="92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1" t="s">
        <v>387</v>
      </c>
      <c r="J704" s="31">
        <v>92701000</v>
      </c>
      <c r="M704" s="31">
        <f t="shared" si="45"/>
        <v>0</v>
      </c>
    </row>
    <row r="705" spans="6:13" x14ac:dyDescent="0.25">
      <c r="F705" s="92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2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2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2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2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2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2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2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2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2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2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2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2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2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2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2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2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2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2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2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2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2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2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2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2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2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2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2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2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2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2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2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2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2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2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2" t="str">
        <f t="shared" si="46"/>
        <v/>
      </c>
      <c r="G740" s="31">
        <f t="shared" ref="G740:G803" si="48">B740</f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2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2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2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2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si="45"/>
        <v>0</v>
      </c>
    </row>
    <row r="745" spans="6:13" x14ac:dyDescent="0.25">
      <c r="F745" s="92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5"/>
        <v>0</v>
      </c>
    </row>
    <row r="746" spans="6:13" x14ac:dyDescent="0.25">
      <c r="F746" s="92" t="str">
        <f t="shared" si="46"/>
        <v/>
      </c>
      <c r="G746" s="31">
        <f t="shared" si="48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5"/>
        <v>0</v>
      </c>
    </row>
    <row r="747" spans="6:13" x14ac:dyDescent="0.25">
      <c r="F747" s="92" t="str">
        <f t="shared" si="46"/>
        <v/>
      </c>
      <c r="G747" s="31">
        <f t="shared" si="48"/>
        <v>0</v>
      </c>
      <c r="H747" s="31" t="str">
        <f t="shared" si="47"/>
        <v xml:space="preserve"> </v>
      </c>
      <c r="I747" s="91" t="s">
        <v>387</v>
      </c>
      <c r="J747" s="31">
        <v>92701000</v>
      </c>
      <c r="M747" s="31">
        <f t="shared" si="45"/>
        <v>0</v>
      </c>
    </row>
    <row r="748" spans="6:13" x14ac:dyDescent="0.25">
      <c r="F748" s="92" t="str">
        <f t="shared" si="46"/>
        <v/>
      </c>
      <c r="G748" s="31">
        <f t="shared" si="48"/>
        <v>0</v>
      </c>
      <c r="H748" s="31" t="str">
        <f t="shared" si="47"/>
        <v xml:space="preserve"> </v>
      </c>
      <c r="I748" s="91" t="s">
        <v>387</v>
      </c>
      <c r="J748" s="31">
        <v>92701000</v>
      </c>
      <c r="M748" s="31">
        <f t="shared" si="45"/>
        <v>0</v>
      </c>
    </row>
    <row r="749" spans="6:13" x14ac:dyDescent="0.25">
      <c r="F749" s="92" t="str">
        <f t="shared" si="46"/>
        <v/>
      </c>
      <c r="G749" s="31">
        <f t="shared" si="48"/>
        <v>0</v>
      </c>
      <c r="H749" s="31" t="str">
        <f t="shared" si="47"/>
        <v xml:space="preserve"> </v>
      </c>
      <c r="I749" s="91" t="s">
        <v>387</v>
      </c>
      <c r="J749" s="31">
        <v>92701000</v>
      </c>
      <c r="M749" s="31">
        <f t="shared" si="45"/>
        <v>0</v>
      </c>
    </row>
    <row r="750" spans="6:13" x14ac:dyDescent="0.25">
      <c r="F750" s="92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1" t="s">
        <v>387</v>
      </c>
      <c r="J750" s="31">
        <v>92701000</v>
      </c>
      <c r="M750" s="31">
        <f t="shared" si="45"/>
        <v>0</v>
      </c>
    </row>
    <row r="751" spans="6:13" x14ac:dyDescent="0.25">
      <c r="F751" s="92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1" t="s">
        <v>387</v>
      </c>
      <c r="J751" s="31">
        <v>92701000</v>
      </c>
      <c r="M751" s="31">
        <f t="shared" si="45"/>
        <v>0</v>
      </c>
    </row>
    <row r="752" spans="6:13" x14ac:dyDescent="0.25">
      <c r="F752" s="92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1" t="s">
        <v>387</v>
      </c>
      <c r="J752" s="31">
        <v>92701000</v>
      </c>
      <c r="M752" s="31">
        <f t="shared" si="45"/>
        <v>0</v>
      </c>
    </row>
    <row r="753" spans="6:13" x14ac:dyDescent="0.25">
      <c r="F753" s="92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1" t="s">
        <v>387</v>
      </c>
      <c r="J753" s="31">
        <v>92701000</v>
      </c>
      <c r="M753" s="31">
        <f t="shared" si="45"/>
        <v>0</v>
      </c>
    </row>
    <row r="754" spans="6:13" x14ac:dyDescent="0.25">
      <c r="F754" s="92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1" t="s">
        <v>387</v>
      </c>
      <c r="J754" s="31">
        <v>92701000</v>
      </c>
      <c r="M754" s="31">
        <f t="shared" si="45"/>
        <v>0</v>
      </c>
    </row>
    <row r="755" spans="6:13" x14ac:dyDescent="0.25">
      <c r="F755" s="92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1" t="s">
        <v>387</v>
      </c>
      <c r="J755" s="31">
        <v>92701000</v>
      </c>
      <c r="M755" s="31">
        <f t="shared" si="45"/>
        <v>0</v>
      </c>
    </row>
    <row r="756" spans="6:13" x14ac:dyDescent="0.25">
      <c r="F756" s="92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1" t="s">
        <v>387</v>
      </c>
      <c r="J756" s="31">
        <v>92701000</v>
      </c>
      <c r="M756" s="31">
        <f t="shared" si="45"/>
        <v>0</v>
      </c>
    </row>
    <row r="757" spans="6:13" x14ac:dyDescent="0.25">
      <c r="F757" s="92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1" t="s">
        <v>387</v>
      </c>
      <c r="J757" s="31">
        <v>92701000</v>
      </c>
      <c r="M757" s="31">
        <f t="shared" ref="M757:M820" si="49">E757</f>
        <v>0</v>
      </c>
    </row>
    <row r="758" spans="6:13" x14ac:dyDescent="0.25">
      <c r="F758" s="92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1" t="s">
        <v>387</v>
      </c>
      <c r="J758" s="31">
        <v>92701000</v>
      </c>
      <c r="M758" s="31">
        <f t="shared" si="49"/>
        <v>0</v>
      </c>
    </row>
    <row r="759" spans="6:13" x14ac:dyDescent="0.25">
      <c r="F759" s="92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1" t="s">
        <v>387</v>
      </c>
      <c r="J759" s="31">
        <v>92701000</v>
      </c>
      <c r="M759" s="31">
        <f t="shared" si="49"/>
        <v>0</v>
      </c>
    </row>
    <row r="760" spans="6:13" x14ac:dyDescent="0.25">
      <c r="F760" s="92" t="str">
        <f t="shared" ref="F760:F823" si="50">TRIM(A760)</f>
        <v/>
      </c>
      <c r="G760" s="31">
        <f t="shared" si="48"/>
        <v>0</v>
      </c>
      <c r="H760" s="31" t="str">
        <f t="shared" ref="H760:H823" si="51">CONCATENATE(TRIM(C760)," ",D760)</f>
        <v xml:space="preserve"> </v>
      </c>
      <c r="I760" s="91" t="s">
        <v>387</v>
      </c>
      <c r="J760" s="31">
        <v>92701000</v>
      </c>
      <c r="M760" s="31">
        <f t="shared" si="49"/>
        <v>0</v>
      </c>
    </row>
    <row r="761" spans="6:13" x14ac:dyDescent="0.25">
      <c r="F761" s="92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1" t="s">
        <v>387</v>
      </c>
      <c r="J761" s="31">
        <v>92701000</v>
      </c>
      <c r="M761" s="31">
        <f t="shared" si="49"/>
        <v>0</v>
      </c>
    </row>
    <row r="762" spans="6:13" x14ac:dyDescent="0.25">
      <c r="F762" s="92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1" t="s">
        <v>387</v>
      </c>
      <c r="J762" s="31">
        <v>92701000</v>
      </c>
      <c r="M762" s="31">
        <f t="shared" si="49"/>
        <v>0</v>
      </c>
    </row>
    <row r="763" spans="6:13" x14ac:dyDescent="0.25">
      <c r="F763" s="92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1" t="s">
        <v>387</v>
      </c>
      <c r="J763" s="31">
        <v>92701000</v>
      </c>
      <c r="M763" s="31">
        <f t="shared" si="49"/>
        <v>0</v>
      </c>
    </row>
    <row r="764" spans="6:13" x14ac:dyDescent="0.25">
      <c r="F764" s="92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1" t="s">
        <v>387</v>
      </c>
      <c r="J764" s="31">
        <v>92701000</v>
      </c>
      <c r="M764" s="31">
        <f t="shared" si="49"/>
        <v>0</v>
      </c>
    </row>
    <row r="765" spans="6:13" x14ac:dyDescent="0.25">
      <c r="F765" s="92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1" t="s">
        <v>387</v>
      </c>
      <c r="J765" s="31">
        <v>92701000</v>
      </c>
      <c r="M765" s="31">
        <f t="shared" si="49"/>
        <v>0</v>
      </c>
    </row>
    <row r="766" spans="6:13" x14ac:dyDescent="0.25">
      <c r="F766" s="92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1" t="s">
        <v>387</v>
      </c>
      <c r="J766" s="31">
        <v>92701000</v>
      </c>
      <c r="M766" s="31">
        <f t="shared" si="49"/>
        <v>0</v>
      </c>
    </row>
    <row r="767" spans="6:13" x14ac:dyDescent="0.25">
      <c r="F767" s="92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1" t="s">
        <v>387</v>
      </c>
      <c r="J767" s="31">
        <v>92701000</v>
      </c>
      <c r="M767" s="31">
        <f t="shared" si="49"/>
        <v>0</v>
      </c>
    </row>
    <row r="768" spans="6:13" x14ac:dyDescent="0.25">
      <c r="F768" s="92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1" t="s">
        <v>387</v>
      </c>
      <c r="J768" s="31">
        <v>92701000</v>
      </c>
      <c r="M768" s="31">
        <f t="shared" si="49"/>
        <v>0</v>
      </c>
    </row>
    <row r="769" spans="6:13" x14ac:dyDescent="0.25">
      <c r="F769" s="92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2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2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2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2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2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2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2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2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2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2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2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2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2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2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2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2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2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2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2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2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2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2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2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2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2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2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2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2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2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2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2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2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2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2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2" t="str">
        <f t="shared" si="50"/>
        <v/>
      </c>
      <c r="G804" s="31">
        <f t="shared" ref="G804:G867" si="52">B804</f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2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2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2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2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si="49"/>
        <v>0</v>
      </c>
    </row>
    <row r="809" spans="6:13" x14ac:dyDescent="0.25">
      <c r="F809" s="92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49"/>
        <v>0</v>
      </c>
    </row>
    <row r="810" spans="6:13" x14ac:dyDescent="0.25">
      <c r="F810" s="92" t="str">
        <f t="shared" si="50"/>
        <v/>
      </c>
      <c r="G810" s="31">
        <f t="shared" si="52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49"/>
        <v>0</v>
      </c>
    </row>
    <row r="811" spans="6:13" x14ac:dyDescent="0.25">
      <c r="F811" s="92" t="str">
        <f t="shared" si="50"/>
        <v/>
      </c>
      <c r="G811" s="31">
        <f t="shared" si="52"/>
        <v>0</v>
      </c>
      <c r="H811" s="31" t="str">
        <f t="shared" si="51"/>
        <v xml:space="preserve"> </v>
      </c>
      <c r="I811" s="91" t="s">
        <v>387</v>
      </c>
      <c r="J811" s="31">
        <v>92701000</v>
      </c>
      <c r="M811" s="31">
        <f t="shared" si="49"/>
        <v>0</v>
      </c>
    </row>
    <row r="812" spans="6:13" x14ac:dyDescent="0.25">
      <c r="F812" s="92" t="str">
        <f t="shared" si="50"/>
        <v/>
      </c>
      <c r="G812" s="31">
        <f t="shared" si="52"/>
        <v>0</v>
      </c>
      <c r="H812" s="31" t="str">
        <f t="shared" si="51"/>
        <v xml:space="preserve"> </v>
      </c>
      <c r="I812" s="91" t="s">
        <v>387</v>
      </c>
      <c r="J812" s="31">
        <v>92701000</v>
      </c>
      <c r="M812" s="31">
        <f t="shared" si="49"/>
        <v>0</v>
      </c>
    </row>
    <row r="813" spans="6:13" x14ac:dyDescent="0.25">
      <c r="F813" s="92" t="str">
        <f t="shared" si="50"/>
        <v/>
      </c>
      <c r="G813" s="31">
        <f t="shared" si="52"/>
        <v>0</v>
      </c>
      <c r="H813" s="31" t="str">
        <f t="shared" si="51"/>
        <v xml:space="preserve"> </v>
      </c>
      <c r="I813" s="91" t="s">
        <v>387</v>
      </c>
      <c r="J813" s="31">
        <v>92701000</v>
      </c>
      <c r="M813" s="31">
        <f t="shared" si="49"/>
        <v>0</v>
      </c>
    </row>
    <row r="814" spans="6:13" x14ac:dyDescent="0.25">
      <c r="F814" s="92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1" t="s">
        <v>387</v>
      </c>
      <c r="J814" s="31">
        <v>92701000</v>
      </c>
      <c r="M814" s="31">
        <f t="shared" si="49"/>
        <v>0</v>
      </c>
    </row>
    <row r="815" spans="6:13" x14ac:dyDescent="0.25">
      <c r="F815" s="92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1" t="s">
        <v>387</v>
      </c>
      <c r="J815" s="31">
        <v>92701000</v>
      </c>
      <c r="M815" s="31">
        <f t="shared" si="49"/>
        <v>0</v>
      </c>
    </row>
    <row r="816" spans="6:13" x14ac:dyDescent="0.25">
      <c r="F816" s="92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1" t="s">
        <v>387</v>
      </c>
      <c r="J816" s="31">
        <v>92701000</v>
      </c>
      <c r="M816" s="31">
        <f t="shared" si="49"/>
        <v>0</v>
      </c>
    </row>
    <row r="817" spans="6:13" x14ac:dyDescent="0.25">
      <c r="F817" s="92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1" t="s">
        <v>387</v>
      </c>
      <c r="J817" s="31">
        <v>92701000</v>
      </c>
      <c r="M817" s="31">
        <f t="shared" si="49"/>
        <v>0</v>
      </c>
    </row>
    <row r="818" spans="6:13" x14ac:dyDescent="0.25">
      <c r="F818" s="92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1" t="s">
        <v>387</v>
      </c>
      <c r="J818" s="31">
        <v>92701000</v>
      </c>
      <c r="M818" s="31">
        <f t="shared" si="49"/>
        <v>0</v>
      </c>
    </row>
    <row r="819" spans="6:13" x14ac:dyDescent="0.25">
      <c r="F819" s="92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1" t="s">
        <v>387</v>
      </c>
      <c r="J819" s="31">
        <v>92701000</v>
      </c>
      <c r="M819" s="31">
        <f t="shared" si="49"/>
        <v>0</v>
      </c>
    </row>
    <row r="820" spans="6:13" x14ac:dyDescent="0.25">
      <c r="F820" s="92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1" t="s">
        <v>387</v>
      </c>
      <c r="J820" s="31">
        <v>92701000</v>
      </c>
      <c r="M820" s="31">
        <f t="shared" si="49"/>
        <v>0</v>
      </c>
    </row>
    <row r="821" spans="6:13" x14ac:dyDescent="0.25">
      <c r="F821" s="92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1" t="s">
        <v>387</v>
      </c>
      <c r="J821" s="31">
        <v>92701000</v>
      </c>
      <c r="M821" s="31">
        <f t="shared" ref="M821:M884" si="53">E821</f>
        <v>0</v>
      </c>
    </row>
    <row r="822" spans="6:13" x14ac:dyDescent="0.25">
      <c r="F822" s="92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1" t="s">
        <v>387</v>
      </c>
      <c r="J822" s="31">
        <v>92701000</v>
      </c>
      <c r="M822" s="31">
        <f t="shared" si="53"/>
        <v>0</v>
      </c>
    </row>
    <row r="823" spans="6:13" x14ac:dyDescent="0.25">
      <c r="F823" s="92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1" t="s">
        <v>387</v>
      </c>
      <c r="J823" s="31">
        <v>92701000</v>
      </c>
      <c r="M823" s="31">
        <f t="shared" si="53"/>
        <v>0</v>
      </c>
    </row>
    <row r="824" spans="6:13" x14ac:dyDescent="0.25">
      <c r="F824" s="92" t="str">
        <f t="shared" ref="F824:F887" si="54">TRIM(A824)</f>
        <v/>
      </c>
      <c r="G824" s="31">
        <f t="shared" si="52"/>
        <v>0</v>
      </c>
      <c r="H824" s="31" t="str">
        <f t="shared" ref="H824:H887" si="55">CONCATENATE(TRIM(C824)," ",D824)</f>
        <v xml:space="preserve"> </v>
      </c>
      <c r="I824" s="91" t="s">
        <v>387</v>
      </c>
      <c r="J824" s="31">
        <v>92701000</v>
      </c>
      <c r="M824" s="31">
        <f t="shared" si="53"/>
        <v>0</v>
      </c>
    </row>
    <row r="825" spans="6:13" x14ac:dyDescent="0.25">
      <c r="F825" s="92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1" t="s">
        <v>387</v>
      </c>
      <c r="J825" s="31">
        <v>92701000</v>
      </c>
      <c r="M825" s="31">
        <f t="shared" si="53"/>
        <v>0</v>
      </c>
    </row>
    <row r="826" spans="6:13" x14ac:dyDescent="0.25">
      <c r="F826" s="92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1" t="s">
        <v>387</v>
      </c>
      <c r="J826" s="31">
        <v>92701000</v>
      </c>
      <c r="M826" s="31">
        <f t="shared" si="53"/>
        <v>0</v>
      </c>
    </row>
    <row r="827" spans="6:13" x14ac:dyDescent="0.25">
      <c r="F827" s="92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1" t="s">
        <v>387</v>
      </c>
      <c r="J827" s="31">
        <v>92701000</v>
      </c>
      <c r="M827" s="31">
        <f t="shared" si="53"/>
        <v>0</v>
      </c>
    </row>
    <row r="828" spans="6:13" x14ac:dyDescent="0.25">
      <c r="F828" s="92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1" t="s">
        <v>387</v>
      </c>
      <c r="J828" s="31">
        <v>92701000</v>
      </c>
      <c r="M828" s="31">
        <f t="shared" si="53"/>
        <v>0</v>
      </c>
    </row>
    <row r="829" spans="6:13" x14ac:dyDescent="0.25">
      <c r="F829" s="92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1" t="s">
        <v>387</v>
      </c>
      <c r="J829" s="31">
        <v>92701000</v>
      </c>
      <c r="M829" s="31">
        <f t="shared" si="53"/>
        <v>0</v>
      </c>
    </row>
    <row r="830" spans="6:13" x14ac:dyDescent="0.25">
      <c r="F830" s="92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1" t="s">
        <v>387</v>
      </c>
      <c r="J830" s="31">
        <v>92701000</v>
      </c>
      <c r="M830" s="31">
        <f t="shared" si="53"/>
        <v>0</v>
      </c>
    </row>
    <row r="831" spans="6:13" x14ac:dyDescent="0.25">
      <c r="F831" s="92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1" t="s">
        <v>387</v>
      </c>
      <c r="J831" s="31">
        <v>92701000</v>
      </c>
      <c r="M831" s="31">
        <f t="shared" si="53"/>
        <v>0</v>
      </c>
    </row>
    <row r="832" spans="6:13" x14ac:dyDescent="0.25">
      <c r="F832" s="92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1" t="s">
        <v>387</v>
      </c>
      <c r="J832" s="31">
        <v>92701000</v>
      </c>
      <c r="M832" s="31">
        <f t="shared" si="53"/>
        <v>0</v>
      </c>
    </row>
    <row r="833" spans="6:13" x14ac:dyDescent="0.25">
      <c r="F833" s="92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2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2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2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2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2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2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2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2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2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2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2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2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2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2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2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2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2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2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2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2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2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2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2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2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2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2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2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2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2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2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2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2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2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2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2" t="str">
        <f t="shared" si="54"/>
        <v/>
      </c>
      <c r="G868" s="31">
        <f t="shared" ref="G868:G931" si="56">B868</f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2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2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2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2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si="53"/>
        <v>0</v>
      </c>
    </row>
    <row r="873" spans="6:13" x14ac:dyDescent="0.25">
      <c r="F873" s="92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3"/>
        <v>0</v>
      </c>
    </row>
    <row r="874" spans="6:13" x14ac:dyDescent="0.25">
      <c r="F874" s="92" t="str">
        <f t="shared" si="54"/>
        <v/>
      </c>
      <c r="G874" s="31">
        <f t="shared" si="56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3"/>
        <v>0</v>
      </c>
    </row>
    <row r="875" spans="6:13" x14ac:dyDescent="0.25">
      <c r="F875" s="92" t="str">
        <f t="shared" si="54"/>
        <v/>
      </c>
      <c r="G875" s="31">
        <f t="shared" si="56"/>
        <v>0</v>
      </c>
      <c r="H875" s="31" t="str">
        <f t="shared" si="55"/>
        <v xml:space="preserve"> </v>
      </c>
      <c r="I875" s="91" t="s">
        <v>387</v>
      </c>
      <c r="J875" s="31">
        <v>92701000</v>
      </c>
      <c r="M875" s="31">
        <f t="shared" si="53"/>
        <v>0</v>
      </c>
    </row>
    <row r="876" spans="6:13" x14ac:dyDescent="0.25">
      <c r="F876" s="92" t="str">
        <f t="shared" si="54"/>
        <v/>
      </c>
      <c r="G876" s="31">
        <f t="shared" si="56"/>
        <v>0</v>
      </c>
      <c r="H876" s="31" t="str">
        <f t="shared" si="55"/>
        <v xml:space="preserve"> </v>
      </c>
      <c r="I876" s="91" t="s">
        <v>387</v>
      </c>
      <c r="J876" s="31">
        <v>92701000</v>
      </c>
      <c r="M876" s="31">
        <f t="shared" si="53"/>
        <v>0</v>
      </c>
    </row>
    <row r="877" spans="6:13" x14ac:dyDescent="0.25">
      <c r="F877" s="92" t="str">
        <f t="shared" si="54"/>
        <v/>
      </c>
      <c r="G877" s="31">
        <f t="shared" si="56"/>
        <v>0</v>
      </c>
      <c r="H877" s="31" t="str">
        <f t="shared" si="55"/>
        <v xml:space="preserve"> </v>
      </c>
      <c r="I877" s="91" t="s">
        <v>387</v>
      </c>
      <c r="J877" s="31">
        <v>92701000</v>
      </c>
      <c r="M877" s="31">
        <f t="shared" si="53"/>
        <v>0</v>
      </c>
    </row>
    <row r="878" spans="6:13" x14ac:dyDescent="0.25">
      <c r="F878" s="92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1" t="s">
        <v>387</v>
      </c>
      <c r="J878" s="31">
        <v>92701000</v>
      </c>
      <c r="M878" s="31">
        <f t="shared" si="53"/>
        <v>0</v>
      </c>
    </row>
    <row r="879" spans="6:13" x14ac:dyDescent="0.25">
      <c r="F879" s="92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1" t="s">
        <v>387</v>
      </c>
      <c r="J879" s="31">
        <v>92701000</v>
      </c>
      <c r="M879" s="31">
        <f t="shared" si="53"/>
        <v>0</v>
      </c>
    </row>
    <row r="880" spans="6:13" x14ac:dyDescent="0.25">
      <c r="F880" s="92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1" t="s">
        <v>387</v>
      </c>
      <c r="J880" s="31">
        <v>92701000</v>
      </c>
      <c r="M880" s="31">
        <f t="shared" si="53"/>
        <v>0</v>
      </c>
    </row>
    <row r="881" spans="6:13" x14ac:dyDescent="0.25">
      <c r="F881" s="92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1" t="s">
        <v>387</v>
      </c>
      <c r="J881" s="31">
        <v>92701000</v>
      </c>
      <c r="M881" s="31">
        <f t="shared" si="53"/>
        <v>0</v>
      </c>
    </row>
    <row r="882" spans="6:13" x14ac:dyDescent="0.25">
      <c r="F882" s="92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1" t="s">
        <v>387</v>
      </c>
      <c r="J882" s="31">
        <v>92701000</v>
      </c>
      <c r="M882" s="31">
        <f t="shared" si="53"/>
        <v>0</v>
      </c>
    </row>
    <row r="883" spans="6:13" x14ac:dyDescent="0.25">
      <c r="F883" s="92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1" t="s">
        <v>387</v>
      </c>
      <c r="J883" s="31">
        <v>92701000</v>
      </c>
      <c r="M883" s="31">
        <f t="shared" si="53"/>
        <v>0</v>
      </c>
    </row>
    <row r="884" spans="6:13" x14ac:dyDescent="0.25">
      <c r="F884" s="92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1" t="s">
        <v>387</v>
      </c>
      <c r="J884" s="31">
        <v>92701000</v>
      </c>
      <c r="M884" s="31">
        <f t="shared" si="53"/>
        <v>0</v>
      </c>
    </row>
    <row r="885" spans="6:13" x14ac:dyDescent="0.25">
      <c r="F885" s="92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1" t="s">
        <v>387</v>
      </c>
      <c r="J885" s="31">
        <v>92701000</v>
      </c>
      <c r="M885" s="31">
        <f t="shared" ref="M885:M948" si="57">E885</f>
        <v>0</v>
      </c>
    </row>
    <row r="886" spans="6:13" x14ac:dyDescent="0.25">
      <c r="F886" s="92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1" t="s">
        <v>387</v>
      </c>
      <c r="J886" s="31">
        <v>92701000</v>
      </c>
      <c r="M886" s="31">
        <f t="shared" si="57"/>
        <v>0</v>
      </c>
    </row>
    <row r="887" spans="6:13" x14ac:dyDescent="0.25">
      <c r="F887" s="92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1" t="s">
        <v>387</v>
      </c>
      <c r="J887" s="31">
        <v>92701000</v>
      </c>
      <c r="M887" s="31">
        <f t="shared" si="57"/>
        <v>0</v>
      </c>
    </row>
    <row r="888" spans="6:13" x14ac:dyDescent="0.25">
      <c r="F888" s="92" t="str">
        <f t="shared" ref="F888:F951" si="58">TRIM(A888)</f>
        <v/>
      </c>
      <c r="G888" s="31">
        <f t="shared" si="56"/>
        <v>0</v>
      </c>
      <c r="H888" s="31" t="str">
        <f t="shared" ref="H888:H951" si="59">CONCATENATE(TRIM(C888)," ",D888)</f>
        <v xml:space="preserve"> </v>
      </c>
      <c r="I888" s="91" t="s">
        <v>387</v>
      </c>
      <c r="J888" s="31">
        <v>92701000</v>
      </c>
      <c r="M888" s="31">
        <f t="shared" si="57"/>
        <v>0</v>
      </c>
    </row>
    <row r="889" spans="6:13" x14ac:dyDescent="0.25">
      <c r="F889" s="92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1" t="s">
        <v>387</v>
      </c>
      <c r="J889" s="31">
        <v>92701000</v>
      </c>
      <c r="M889" s="31">
        <f t="shared" si="57"/>
        <v>0</v>
      </c>
    </row>
    <row r="890" spans="6:13" x14ac:dyDescent="0.25">
      <c r="F890" s="92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1" t="s">
        <v>387</v>
      </c>
      <c r="J890" s="31">
        <v>92701000</v>
      </c>
      <c r="M890" s="31">
        <f t="shared" si="57"/>
        <v>0</v>
      </c>
    </row>
    <row r="891" spans="6:13" x14ac:dyDescent="0.25">
      <c r="F891" s="92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1" t="s">
        <v>387</v>
      </c>
      <c r="J891" s="31">
        <v>92701000</v>
      </c>
      <c r="M891" s="31">
        <f t="shared" si="57"/>
        <v>0</v>
      </c>
    </row>
    <row r="892" spans="6:13" x14ac:dyDescent="0.25">
      <c r="F892" s="92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1" t="s">
        <v>387</v>
      </c>
      <c r="J892" s="31">
        <v>92701000</v>
      </c>
      <c r="M892" s="31">
        <f t="shared" si="57"/>
        <v>0</v>
      </c>
    </row>
    <row r="893" spans="6:13" x14ac:dyDescent="0.25">
      <c r="F893" s="92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1" t="s">
        <v>387</v>
      </c>
      <c r="J893" s="31">
        <v>92701000</v>
      </c>
      <c r="M893" s="31">
        <f t="shared" si="57"/>
        <v>0</v>
      </c>
    </row>
    <row r="894" spans="6:13" x14ac:dyDescent="0.25">
      <c r="F894" s="92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1" t="s">
        <v>387</v>
      </c>
      <c r="J894" s="31">
        <v>92701000</v>
      </c>
      <c r="M894" s="31">
        <f t="shared" si="57"/>
        <v>0</v>
      </c>
    </row>
    <row r="895" spans="6:13" x14ac:dyDescent="0.25">
      <c r="F895" s="92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1" t="s">
        <v>387</v>
      </c>
      <c r="J895" s="31">
        <v>92701000</v>
      </c>
      <c r="M895" s="31">
        <f t="shared" si="57"/>
        <v>0</v>
      </c>
    </row>
    <row r="896" spans="6:13" x14ac:dyDescent="0.25">
      <c r="F896" s="92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1" t="s">
        <v>387</v>
      </c>
      <c r="J896" s="31">
        <v>92701000</v>
      </c>
      <c r="M896" s="31">
        <f t="shared" si="57"/>
        <v>0</v>
      </c>
    </row>
    <row r="897" spans="6:13" x14ac:dyDescent="0.25">
      <c r="F897" s="92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2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2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2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2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2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2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2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2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2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2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2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2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2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2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2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2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2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2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2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2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2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2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2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2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2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2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2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2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2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2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2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2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2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2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2" t="str">
        <f t="shared" si="58"/>
        <v/>
      </c>
      <c r="G932" s="31">
        <f t="shared" ref="G932:G995" si="60">B932</f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2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2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2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2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si="57"/>
        <v>0</v>
      </c>
    </row>
    <row r="937" spans="6:13" x14ac:dyDescent="0.25">
      <c r="F937" s="92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57"/>
        <v>0</v>
      </c>
    </row>
    <row r="938" spans="6:13" x14ac:dyDescent="0.25">
      <c r="F938" s="92" t="str">
        <f t="shared" si="58"/>
        <v/>
      </c>
      <c r="G938" s="31">
        <f t="shared" si="60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57"/>
        <v>0</v>
      </c>
    </row>
    <row r="939" spans="6:13" x14ac:dyDescent="0.25">
      <c r="F939" s="92" t="str">
        <f t="shared" si="58"/>
        <v/>
      </c>
      <c r="G939" s="31">
        <f t="shared" si="60"/>
        <v>0</v>
      </c>
      <c r="H939" s="31" t="str">
        <f t="shared" si="59"/>
        <v xml:space="preserve"> </v>
      </c>
      <c r="I939" s="91" t="s">
        <v>387</v>
      </c>
      <c r="J939" s="31">
        <v>92701000</v>
      </c>
      <c r="M939" s="31">
        <f t="shared" si="57"/>
        <v>0</v>
      </c>
    </row>
    <row r="940" spans="6:13" x14ac:dyDescent="0.25">
      <c r="F940" s="92" t="str">
        <f t="shared" si="58"/>
        <v/>
      </c>
      <c r="G940" s="31">
        <f t="shared" si="60"/>
        <v>0</v>
      </c>
      <c r="H940" s="31" t="str">
        <f t="shared" si="59"/>
        <v xml:space="preserve"> </v>
      </c>
      <c r="I940" s="91" t="s">
        <v>387</v>
      </c>
      <c r="J940" s="31">
        <v>92701000</v>
      </c>
      <c r="M940" s="31">
        <f t="shared" si="57"/>
        <v>0</v>
      </c>
    </row>
    <row r="941" spans="6:13" x14ac:dyDescent="0.25">
      <c r="F941" s="92" t="str">
        <f t="shared" si="58"/>
        <v/>
      </c>
      <c r="G941" s="31">
        <f t="shared" si="60"/>
        <v>0</v>
      </c>
      <c r="H941" s="31" t="str">
        <f t="shared" si="59"/>
        <v xml:space="preserve"> </v>
      </c>
      <c r="I941" s="91" t="s">
        <v>387</v>
      </c>
      <c r="J941" s="31">
        <v>92701000</v>
      </c>
      <c r="M941" s="31">
        <f t="shared" si="57"/>
        <v>0</v>
      </c>
    </row>
    <row r="942" spans="6:13" x14ac:dyDescent="0.25">
      <c r="F942" s="92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1" t="s">
        <v>387</v>
      </c>
      <c r="J942" s="31">
        <v>92701000</v>
      </c>
      <c r="M942" s="31">
        <f t="shared" si="57"/>
        <v>0</v>
      </c>
    </row>
    <row r="943" spans="6:13" x14ac:dyDescent="0.25">
      <c r="F943" s="92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1" t="s">
        <v>387</v>
      </c>
      <c r="J943" s="31">
        <v>92701000</v>
      </c>
      <c r="M943" s="31">
        <f t="shared" si="57"/>
        <v>0</v>
      </c>
    </row>
    <row r="944" spans="6:13" x14ac:dyDescent="0.25">
      <c r="F944" s="92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1" t="s">
        <v>387</v>
      </c>
      <c r="J944" s="31">
        <v>92701000</v>
      </c>
      <c r="M944" s="31">
        <f t="shared" si="57"/>
        <v>0</v>
      </c>
    </row>
    <row r="945" spans="6:13" x14ac:dyDescent="0.25">
      <c r="F945" s="92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1" t="s">
        <v>387</v>
      </c>
      <c r="J945" s="31">
        <v>92701000</v>
      </c>
      <c r="M945" s="31">
        <f t="shared" si="57"/>
        <v>0</v>
      </c>
    </row>
    <row r="946" spans="6:13" x14ac:dyDescent="0.25">
      <c r="F946" s="92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1" t="s">
        <v>387</v>
      </c>
      <c r="J946" s="31">
        <v>92701000</v>
      </c>
      <c r="M946" s="31">
        <f t="shared" si="57"/>
        <v>0</v>
      </c>
    </row>
    <row r="947" spans="6:13" x14ac:dyDescent="0.25">
      <c r="F947" s="92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1" t="s">
        <v>387</v>
      </c>
      <c r="J947" s="31">
        <v>92701000</v>
      </c>
      <c r="M947" s="31">
        <f t="shared" si="57"/>
        <v>0</v>
      </c>
    </row>
    <row r="948" spans="6:13" x14ac:dyDescent="0.25">
      <c r="F948" s="92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1" t="s">
        <v>387</v>
      </c>
      <c r="J948" s="31">
        <v>92701000</v>
      </c>
      <c r="M948" s="31">
        <f t="shared" si="57"/>
        <v>0</v>
      </c>
    </row>
    <row r="949" spans="6:13" x14ac:dyDescent="0.25">
      <c r="F949" s="92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1" t="s">
        <v>387</v>
      </c>
      <c r="J949" s="31">
        <v>92701000</v>
      </c>
      <c r="M949" s="31">
        <f t="shared" ref="M949:M1012" si="61">E949</f>
        <v>0</v>
      </c>
    </row>
    <row r="950" spans="6:13" x14ac:dyDescent="0.25">
      <c r="F950" s="92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1" t="s">
        <v>387</v>
      </c>
      <c r="J950" s="31">
        <v>92701000</v>
      </c>
      <c r="M950" s="31">
        <f t="shared" si="61"/>
        <v>0</v>
      </c>
    </row>
    <row r="951" spans="6:13" x14ac:dyDescent="0.25">
      <c r="F951" s="92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1" t="s">
        <v>387</v>
      </c>
      <c r="J951" s="31">
        <v>92701000</v>
      </c>
      <c r="M951" s="31">
        <f t="shared" si="61"/>
        <v>0</v>
      </c>
    </row>
    <row r="952" spans="6:13" x14ac:dyDescent="0.25">
      <c r="F952" s="92" t="str">
        <f t="shared" ref="F952:F1015" si="62">TRIM(A952)</f>
        <v/>
      </c>
      <c r="G952" s="31">
        <f t="shared" si="60"/>
        <v>0</v>
      </c>
      <c r="H952" s="31" t="str">
        <f t="shared" ref="H952:H1015" si="63">CONCATENATE(TRIM(C952)," ",D952)</f>
        <v xml:space="preserve"> </v>
      </c>
      <c r="I952" s="91" t="s">
        <v>387</v>
      </c>
      <c r="J952" s="31">
        <v>92701000</v>
      </c>
      <c r="M952" s="31">
        <f t="shared" si="61"/>
        <v>0</v>
      </c>
    </row>
    <row r="953" spans="6:13" x14ac:dyDescent="0.25">
      <c r="F953" s="92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1" t="s">
        <v>387</v>
      </c>
      <c r="J953" s="31">
        <v>92701000</v>
      </c>
      <c r="M953" s="31">
        <f t="shared" si="61"/>
        <v>0</v>
      </c>
    </row>
    <row r="954" spans="6:13" x14ac:dyDescent="0.25">
      <c r="F954" s="92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1" t="s">
        <v>387</v>
      </c>
      <c r="J954" s="31">
        <v>92701000</v>
      </c>
      <c r="M954" s="31">
        <f t="shared" si="61"/>
        <v>0</v>
      </c>
    </row>
    <row r="955" spans="6:13" x14ac:dyDescent="0.25">
      <c r="F955" s="92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1" t="s">
        <v>387</v>
      </c>
      <c r="J955" s="31">
        <v>92701000</v>
      </c>
      <c r="M955" s="31">
        <f t="shared" si="61"/>
        <v>0</v>
      </c>
    </row>
    <row r="956" spans="6:13" x14ac:dyDescent="0.25">
      <c r="F956" s="92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1" t="s">
        <v>387</v>
      </c>
      <c r="J956" s="31">
        <v>92701000</v>
      </c>
      <c r="M956" s="31">
        <f t="shared" si="61"/>
        <v>0</v>
      </c>
    </row>
    <row r="957" spans="6:13" x14ac:dyDescent="0.25">
      <c r="F957" s="92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1" t="s">
        <v>387</v>
      </c>
      <c r="J957" s="31">
        <v>92701000</v>
      </c>
      <c r="M957" s="31">
        <f t="shared" si="61"/>
        <v>0</v>
      </c>
    </row>
    <row r="958" spans="6:13" x14ac:dyDescent="0.25">
      <c r="F958" s="92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1" t="s">
        <v>387</v>
      </c>
      <c r="J958" s="31">
        <v>92701000</v>
      </c>
      <c r="M958" s="31">
        <f t="shared" si="61"/>
        <v>0</v>
      </c>
    </row>
    <row r="959" spans="6:13" x14ac:dyDescent="0.25">
      <c r="F959" s="92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1" t="s">
        <v>387</v>
      </c>
      <c r="J959" s="31">
        <v>92701000</v>
      </c>
      <c r="M959" s="31">
        <f t="shared" si="61"/>
        <v>0</v>
      </c>
    </row>
    <row r="960" spans="6:13" x14ac:dyDescent="0.25">
      <c r="F960" s="92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1" t="s">
        <v>387</v>
      </c>
      <c r="J960" s="31">
        <v>92701000</v>
      </c>
      <c r="M960" s="31">
        <f t="shared" si="61"/>
        <v>0</v>
      </c>
    </row>
    <row r="961" spans="6:13" x14ac:dyDescent="0.25">
      <c r="F961" s="92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2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2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2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2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2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2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2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2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2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2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2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2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2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2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2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2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2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2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2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2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2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2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2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2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2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2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2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2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2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2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2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2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2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2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2" t="str">
        <f t="shared" si="62"/>
        <v/>
      </c>
      <c r="G996" s="31">
        <f t="shared" ref="G996:G1059" si="64">B996</f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2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2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2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2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si="61"/>
        <v>0</v>
      </c>
    </row>
    <row r="1001" spans="6:13" x14ac:dyDescent="0.25">
      <c r="F1001" s="92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1"/>
        <v>0</v>
      </c>
    </row>
    <row r="1002" spans="6:13" x14ac:dyDescent="0.25">
      <c r="F1002" s="92" t="str">
        <f t="shared" si="62"/>
        <v/>
      </c>
      <c r="G1002" s="31">
        <f t="shared" si="64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1"/>
        <v>0</v>
      </c>
    </row>
    <row r="1003" spans="6:13" x14ac:dyDescent="0.25">
      <c r="F1003" s="92" t="str">
        <f t="shared" si="62"/>
        <v/>
      </c>
      <c r="G1003" s="31">
        <f t="shared" si="64"/>
        <v>0</v>
      </c>
      <c r="H1003" s="31" t="str">
        <f t="shared" si="63"/>
        <v xml:space="preserve"> </v>
      </c>
      <c r="I1003" s="91" t="s">
        <v>387</v>
      </c>
      <c r="J1003" s="31">
        <v>92701000</v>
      </c>
      <c r="M1003" s="31">
        <f t="shared" si="61"/>
        <v>0</v>
      </c>
    </row>
    <row r="1004" spans="6:13" x14ac:dyDescent="0.25">
      <c r="F1004" s="92" t="str">
        <f t="shared" si="62"/>
        <v/>
      </c>
      <c r="G1004" s="31">
        <f t="shared" si="64"/>
        <v>0</v>
      </c>
      <c r="H1004" s="31" t="str">
        <f t="shared" si="63"/>
        <v xml:space="preserve"> </v>
      </c>
      <c r="I1004" s="91" t="s">
        <v>387</v>
      </c>
      <c r="J1004" s="31">
        <v>92701000</v>
      </c>
      <c r="M1004" s="31">
        <f t="shared" si="61"/>
        <v>0</v>
      </c>
    </row>
    <row r="1005" spans="6:13" x14ac:dyDescent="0.25">
      <c r="F1005" s="92" t="str">
        <f t="shared" si="62"/>
        <v/>
      </c>
      <c r="G1005" s="31">
        <f t="shared" si="64"/>
        <v>0</v>
      </c>
      <c r="H1005" s="31" t="str">
        <f t="shared" si="63"/>
        <v xml:space="preserve"> </v>
      </c>
      <c r="I1005" s="91" t="s">
        <v>387</v>
      </c>
      <c r="J1005" s="31">
        <v>92701000</v>
      </c>
      <c r="M1005" s="31">
        <f t="shared" si="61"/>
        <v>0</v>
      </c>
    </row>
    <row r="1006" spans="6:13" x14ac:dyDescent="0.25">
      <c r="F1006" s="92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1" t="s">
        <v>387</v>
      </c>
      <c r="J1006" s="31">
        <v>92701000</v>
      </c>
      <c r="M1006" s="31">
        <f t="shared" si="61"/>
        <v>0</v>
      </c>
    </row>
    <row r="1007" spans="6:13" x14ac:dyDescent="0.25">
      <c r="F1007" s="92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1" t="s">
        <v>387</v>
      </c>
      <c r="J1007" s="31">
        <v>92701000</v>
      </c>
      <c r="M1007" s="31">
        <f t="shared" si="61"/>
        <v>0</v>
      </c>
    </row>
    <row r="1008" spans="6:13" x14ac:dyDescent="0.25">
      <c r="F1008" s="92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1" t="s">
        <v>387</v>
      </c>
      <c r="J1008" s="31">
        <v>92701000</v>
      </c>
      <c r="M1008" s="31">
        <f t="shared" si="61"/>
        <v>0</v>
      </c>
    </row>
    <row r="1009" spans="6:13" x14ac:dyDescent="0.25">
      <c r="F1009" s="92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1" t="s">
        <v>387</v>
      </c>
      <c r="J1009" s="31">
        <v>92701000</v>
      </c>
      <c r="M1009" s="31">
        <f t="shared" si="61"/>
        <v>0</v>
      </c>
    </row>
    <row r="1010" spans="6:13" x14ac:dyDescent="0.25">
      <c r="F1010" s="92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1" t="s">
        <v>387</v>
      </c>
      <c r="J1010" s="31">
        <v>92701000</v>
      </c>
      <c r="M1010" s="31">
        <f t="shared" si="61"/>
        <v>0</v>
      </c>
    </row>
    <row r="1011" spans="6:13" x14ac:dyDescent="0.25">
      <c r="F1011" s="92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1" t="s">
        <v>387</v>
      </c>
      <c r="J1011" s="31">
        <v>92701000</v>
      </c>
      <c r="M1011" s="31">
        <f t="shared" si="61"/>
        <v>0</v>
      </c>
    </row>
    <row r="1012" spans="6:13" x14ac:dyDescent="0.25">
      <c r="F1012" s="92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1" t="s">
        <v>387</v>
      </c>
      <c r="J1012" s="31">
        <v>92701000</v>
      </c>
      <c r="M1012" s="31">
        <f t="shared" si="61"/>
        <v>0</v>
      </c>
    </row>
    <row r="1013" spans="6:13" x14ac:dyDescent="0.25">
      <c r="F1013" s="92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1" t="s">
        <v>387</v>
      </c>
      <c r="J1013" s="31">
        <v>92701000</v>
      </c>
      <c r="M1013" s="31">
        <f t="shared" ref="M1013:M1076" si="65">E1013</f>
        <v>0</v>
      </c>
    </row>
    <row r="1014" spans="6:13" x14ac:dyDescent="0.25">
      <c r="F1014" s="92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1" t="s">
        <v>387</v>
      </c>
      <c r="J1014" s="31">
        <v>92701000</v>
      </c>
      <c r="M1014" s="31">
        <f t="shared" si="65"/>
        <v>0</v>
      </c>
    </row>
    <row r="1015" spans="6:13" x14ac:dyDescent="0.25">
      <c r="F1015" s="92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1" t="s">
        <v>387</v>
      </c>
      <c r="J1015" s="31">
        <v>92701000</v>
      </c>
      <c r="M1015" s="31">
        <f t="shared" si="65"/>
        <v>0</v>
      </c>
    </row>
    <row r="1016" spans="6:13" x14ac:dyDescent="0.25">
      <c r="F1016" s="92" t="str">
        <f t="shared" ref="F1016:F1079" si="66">TRIM(A1016)</f>
        <v/>
      </c>
      <c r="G1016" s="31">
        <f t="shared" si="64"/>
        <v>0</v>
      </c>
      <c r="H1016" s="31" t="str">
        <f t="shared" ref="H1016:H1079" si="67">CONCATENATE(TRIM(C1016)," ",D1016)</f>
        <v xml:space="preserve"> </v>
      </c>
      <c r="I1016" s="91" t="s">
        <v>387</v>
      </c>
      <c r="J1016" s="31">
        <v>92701000</v>
      </c>
      <c r="M1016" s="31">
        <f t="shared" si="65"/>
        <v>0</v>
      </c>
    </row>
    <row r="1017" spans="6:13" x14ac:dyDescent="0.25">
      <c r="F1017" s="92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1" t="s">
        <v>387</v>
      </c>
      <c r="J1017" s="31">
        <v>92701000</v>
      </c>
      <c r="M1017" s="31">
        <f t="shared" si="65"/>
        <v>0</v>
      </c>
    </row>
    <row r="1018" spans="6:13" x14ac:dyDescent="0.25">
      <c r="F1018" s="92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1" t="s">
        <v>387</v>
      </c>
      <c r="J1018" s="31">
        <v>92701000</v>
      </c>
      <c r="M1018" s="31">
        <f t="shared" si="65"/>
        <v>0</v>
      </c>
    </row>
    <row r="1019" spans="6:13" x14ac:dyDescent="0.25">
      <c r="F1019" s="92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1" t="s">
        <v>387</v>
      </c>
      <c r="J1019" s="31">
        <v>92701000</v>
      </c>
      <c r="M1019" s="31">
        <f t="shared" si="65"/>
        <v>0</v>
      </c>
    </row>
    <row r="1020" spans="6:13" x14ac:dyDescent="0.25">
      <c r="F1020" s="92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1" t="s">
        <v>387</v>
      </c>
      <c r="J1020" s="31">
        <v>92701000</v>
      </c>
      <c r="M1020" s="31">
        <f t="shared" si="65"/>
        <v>0</v>
      </c>
    </row>
    <row r="1021" spans="6:13" x14ac:dyDescent="0.25">
      <c r="F1021" s="92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1" t="s">
        <v>387</v>
      </c>
      <c r="J1021" s="31">
        <v>92701000</v>
      </c>
      <c r="M1021" s="31">
        <f t="shared" si="65"/>
        <v>0</v>
      </c>
    </row>
    <row r="1022" spans="6:13" x14ac:dyDescent="0.25">
      <c r="F1022" s="92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1" t="s">
        <v>387</v>
      </c>
      <c r="J1022" s="31">
        <v>92701000</v>
      </c>
      <c r="M1022" s="31">
        <f t="shared" si="65"/>
        <v>0</v>
      </c>
    </row>
    <row r="1023" spans="6:13" x14ac:dyDescent="0.25">
      <c r="F1023" s="92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1" t="s">
        <v>387</v>
      </c>
      <c r="J1023" s="31">
        <v>92701000</v>
      </c>
      <c r="M1023" s="31">
        <f t="shared" si="65"/>
        <v>0</v>
      </c>
    </row>
    <row r="1024" spans="6:13" x14ac:dyDescent="0.25">
      <c r="F1024" s="92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1" t="s">
        <v>387</v>
      </c>
      <c r="J1024" s="31">
        <v>92701000</v>
      </c>
      <c r="M1024" s="31">
        <f t="shared" si="65"/>
        <v>0</v>
      </c>
    </row>
    <row r="1025" spans="6:13" x14ac:dyDescent="0.25">
      <c r="F1025" s="92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2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2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2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2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2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2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2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2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2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2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2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2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2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2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2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2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2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2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2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2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2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2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2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2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2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2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2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2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2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2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2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2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2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2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2" t="str">
        <f t="shared" si="66"/>
        <v/>
      </c>
      <c r="G1060" s="31">
        <f t="shared" ref="G1060:G1123" si="68">B1060</f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2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2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2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2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si="65"/>
        <v>0</v>
      </c>
    </row>
    <row r="1065" spans="6:13" x14ac:dyDescent="0.25">
      <c r="F1065" s="92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5"/>
        <v>0</v>
      </c>
    </row>
    <row r="1066" spans="6:13" x14ac:dyDescent="0.25">
      <c r="F1066" s="92" t="str">
        <f t="shared" si="66"/>
        <v/>
      </c>
      <c r="G1066" s="31">
        <f t="shared" si="68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5"/>
        <v>0</v>
      </c>
    </row>
    <row r="1067" spans="6:13" x14ac:dyDescent="0.25">
      <c r="F1067" s="92" t="str">
        <f t="shared" si="66"/>
        <v/>
      </c>
      <c r="G1067" s="31">
        <f t="shared" si="68"/>
        <v>0</v>
      </c>
      <c r="H1067" s="31" t="str">
        <f t="shared" si="67"/>
        <v xml:space="preserve"> </v>
      </c>
      <c r="I1067" s="91" t="s">
        <v>387</v>
      </c>
      <c r="J1067" s="31">
        <v>92701000</v>
      </c>
      <c r="M1067" s="31">
        <f t="shared" si="65"/>
        <v>0</v>
      </c>
    </row>
    <row r="1068" spans="6:13" x14ac:dyDescent="0.25">
      <c r="F1068" s="92" t="str">
        <f t="shared" si="66"/>
        <v/>
      </c>
      <c r="G1068" s="31">
        <f t="shared" si="68"/>
        <v>0</v>
      </c>
      <c r="H1068" s="31" t="str">
        <f t="shared" si="67"/>
        <v xml:space="preserve"> </v>
      </c>
      <c r="I1068" s="91" t="s">
        <v>387</v>
      </c>
      <c r="J1068" s="31">
        <v>92701000</v>
      </c>
      <c r="M1068" s="31">
        <f t="shared" si="65"/>
        <v>0</v>
      </c>
    </row>
    <row r="1069" spans="6:13" x14ac:dyDescent="0.25">
      <c r="F1069" s="92" t="str">
        <f t="shared" si="66"/>
        <v/>
      </c>
      <c r="G1069" s="31">
        <f t="shared" si="68"/>
        <v>0</v>
      </c>
      <c r="H1069" s="31" t="str">
        <f t="shared" si="67"/>
        <v xml:space="preserve"> </v>
      </c>
      <c r="I1069" s="91" t="s">
        <v>387</v>
      </c>
      <c r="J1069" s="31">
        <v>92701000</v>
      </c>
      <c r="M1069" s="31">
        <f t="shared" si="65"/>
        <v>0</v>
      </c>
    </row>
    <row r="1070" spans="6:13" x14ac:dyDescent="0.25">
      <c r="F1070" s="92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1" t="s">
        <v>387</v>
      </c>
      <c r="J1070" s="31">
        <v>92701000</v>
      </c>
      <c r="M1070" s="31">
        <f t="shared" si="65"/>
        <v>0</v>
      </c>
    </row>
    <row r="1071" spans="6:13" x14ac:dyDescent="0.25">
      <c r="F1071" s="92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1" t="s">
        <v>387</v>
      </c>
      <c r="J1071" s="31">
        <v>92701000</v>
      </c>
      <c r="M1071" s="31">
        <f t="shared" si="65"/>
        <v>0</v>
      </c>
    </row>
    <row r="1072" spans="6:13" x14ac:dyDescent="0.25">
      <c r="F1072" s="92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1" t="s">
        <v>387</v>
      </c>
      <c r="J1072" s="31">
        <v>92701000</v>
      </c>
      <c r="M1072" s="31">
        <f t="shared" si="65"/>
        <v>0</v>
      </c>
    </row>
    <row r="1073" spans="6:13" x14ac:dyDescent="0.25">
      <c r="F1073" s="92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1" t="s">
        <v>387</v>
      </c>
      <c r="J1073" s="31">
        <v>92701000</v>
      </c>
      <c r="M1073" s="31">
        <f t="shared" si="65"/>
        <v>0</v>
      </c>
    </row>
    <row r="1074" spans="6:13" x14ac:dyDescent="0.25">
      <c r="F1074" s="92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1" t="s">
        <v>387</v>
      </c>
      <c r="J1074" s="31">
        <v>92701000</v>
      </c>
      <c r="M1074" s="31">
        <f t="shared" si="65"/>
        <v>0</v>
      </c>
    </row>
    <row r="1075" spans="6:13" x14ac:dyDescent="0.25">
      <c r="F1075" s="92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1" t="s">
        <v>387</v>
      </c>
      <c r="J1075" s="31">
        <v>92701000</v>
      </c>
      <c r="M1075" s="31">
        <f t="shared" si="65"/>
        <v>0</v>
      </c>
    </row>
    <row r="1076" spans="6:13" x14ac:dyDescent="0.25">
      <c r="F1076" s="92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1" t="s">
        <v>387</v>
      </c>
      <c r="J1076" s="31">
        <v>92701000</v>
      </c>
      <c r="M1076" s="31">
        <f t="shared" si="65"/>
        <v>0</v>
      </c>
    </row>
    <row r="1077" spans="6:13" x14ac:dyDescent="0.25">
      <c r="F1077" s="92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1" t="s">
        <v>387</v>
      </c>
      <c r="J1077" s="31">
        <v>92701000</v>
      </c>
      <c r="M1077" s="31">
        <f t="shared" ref="M1077:M1140" si="69">E1077</f>
        <v>0</v>
      </c>
    </row>
    <row r="1078" spans="6:13" x14ac:dyDescent="0.25">
      <c r="F1078" s="92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1" t="s">
        <v>387</v>
      </c>
      <c r="J1078" s="31">
        <v>92701000</v>
      </c>
      <c r="M1078" s="31">
        <f t="shared" si="69"/>
        <v>0</v>
      </c>
    </row>
    <row r="1079" spans="6:13" x14ac:dyDescent="0.25">
      <c r="F1079" s="92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1" t="s">
        <v>387</v>
      </c>
      <c r="J1079" s="31">
        <v>92701000</v>
      </c>
      <c r="M1079" s="31">
        <f t="shared" si="69"/>
        <v>0</v>
      </c>
    </row>
    <row r="1080" spans="6:13" x14ac:dyDescent="0.25">
      <c r="F1080" s="92" t="str">
        <f t="shared" ref="F1080:F1143" si="70">TRIM(A1080)</f>
        <v/>
      </c>
      <c r="G1080" s="31">
        <f t="shared" si="68"/>
        <v>0</v>
      </c>
      <c r="H1080" s="31" t="str">
        <f t="shared" ref="H1080:H1143" si="71">CONCATENATE(TRIM(C1080)," ",D1080)</f>
        <v xml:space="preserve"> </v>
      </c>
      <c r="I1080" s="91" t="s">
        <v>387</v>
      </c>
      <c r="J1080" s="31">
        <v>92701000</v>
      </c>
      <c r="M1080" s="31">
        <f t="shared" si="69"/>
        <v>0</v>
      </c>
    </row>
    <row r="1081" spans="6:13" x14ac:dyDescent="0.25">
      <c r="F1081" s="92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1" t="s">
        <v>387</v>
      </c>
      <c r="J1081" s="31">
        <v>92701000</v>
      </c>
      <c r="M1081" s="31">
        <f t="shared" si="69"/>
        <v>0</v>
      </c>
    </row>
    <row r="1082" spans="6:13" x14ac:dyDescent="0.25">
      <c r="F1082" s="92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1" t="s">
        <v>387</v>
      </c>
      <c r="J1082" s="31">
        <v>92701000</v>
      </c>
      <c r="M1082" s="31">
        <f t="shared" si="69"/>
        <v>0</v>
      </c>
    </row>
    <row r="1083" spans="6:13" x14ac:dyDescent="0.25">
      <c r="F1083" s="92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1" t="s">
        <v>387</v>
      </c>
      <c r="J1083" s="31">
        <v>92701000</v>
      </c>
      <c r="M1083" s="31">
        <f t="shared" si="69"/>
        <v>0</v>
      </c>
    </row>
    <row r="1084" spans="6:13" x14ac:dyDescent="0.25">
      <c r="F1084" s="92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1" t="s">
        <v>387</v>
      </c>
      <c r="J1084" s="31">
        <v>92701000</v>
      </c>
      <c r="M1084" s="31">
        <f t="shared" si="69"/>
        <v>0</v>
      </c>
    </row>
    <row r="1085" spans="6:13" x14ac:dyDescent="0.25">
      <c r="F1085" s="92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1" t="s">
        <v>387</v>
      </c>
      <c r="J1085" s="31">
        <v>92701000</v>
      </c>
      <c r="M1085" s="31">
        <f t="shared" si="69"/>
        <v>0</v>
      </c>
    </row>
    <row r="1086" spans="6:13" x14ac:dyDescent="0.25">
      <c r="F1086" s="92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1" t="s">
        <v>387</v>
      </c>
      <c r="J1086" s="31">
        <v>92701000</v>
      </c>
      <c r="M1086" s="31">
        <f t="shared" si="69"/>
        <v>0</v>
      </c>
    </row>
    <row r="1087" spans="6:13" x14ac:dyDescent="0.25">
      <c r="F1087" s="92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1" t="s">
        <v>387</v>
      </c>
      <c r="J1087" s="31">
        <v>92701000</v>
      </c>
      <c r="M1087" s="31">
        <f t="shared" si="69"/>
        <v>0</v>
      </c>
    </row>
    <row r="1088" spans="6:13" x14ac:dyDescent="0.25">
      <c r="F1088" s="92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1" t="s">
        <v>387</v>
      </c>
      <c r="J1088" s="31">
        <v>92701000</v>
      </c>
      <c r="M1088" s="31">
        <f t="shared" si="69"/>
        <v>0</v>
      </c>
    </row>
    <row r="1089" spans="6:13" x14ac:dyDescent="0.25">
      <c r="F1089" s="92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2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2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2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2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2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2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2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2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2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2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2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2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2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2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2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2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2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2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2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2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2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2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2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2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2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2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2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2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2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2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2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2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2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2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2" t="str">
        <f t="shared" si="70"/>
        <v/>
      </c>
      <c r="G1124" s="31">
        <f t="shared" ref="G1124:G1187" si="72">B1124</f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2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2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2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2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si="69"/>
        <v>0</v>
      </c>
    </row>
    <row r="1129" spans="6:13" x14ac:dyDescent="0.25">
      <c r="F1129" s="92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69"/>
        <v>0</v>
      </c>
    </row>
    <row r="1130" spans="6:13" x14ac:dyDescent="0.25">
      <c r="F1130" s="92" t="str">
        <f t="shared" si="70"/>
        <v/>
      </c>
      <c r="G1130" s="31">
        <f t="shared" si="72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69"/>
        <v>0</v>
      </c>
    </row>
    <row r="1131" spans="6:13" x14ac:dyDescent="0.25">
      <c r="F1131" s="92" t="str">
        <f t="shared" si="70"/>
        <v/>
      </c>
      <c r="G1131" s="31">
        <f t="shared" si="72"/>
        <v>0</v>
      </c>
      <c r="H1131" s="31" t="str">
        <f t="shared" si="71"/>
        <v xml:space="preserve"> </v>
      </c>
      <c r="I1131" s="91" t="s">
        <v>387</v>
      </c>
      <c r="J1131" s="31">
        <v>92701000</v>
      </c>
      <c r="M1131" s="31">
        <f t="shared" si="69"/>
        <v>0</v>
      </c>
    </row>
    <row r="1132" spans="6:13" x14ac:dyDescent="0.25">
      <c r="F1132" s="92" t="str">
        <f t="shared" si="70"/>
        <v/>
      </c>
      <c r="G1132" s="31">
        <f t="shared" si="72"/>
        <v>0</v>
      </c>
      <c r="H1132" s="31" t="str">
        <f t="shared" si="71"/>
        <v xml:space="preserve"> </v>
      </c>
      <c r="I1132" s="91" t="s">
        <v>387</v>
      </c>
      <c r="J1132" s="31">
        <v>92701000</v>
      </c>
      <c r="M1132" s="31">
        <f t="shared" si="69"/>
        <v>0</v>
      </c>
    </row>
    <row r="1133" spans="6:13" x14ac:dyDescent="0.25">
      <c r="F1133" s="92" t="str">
        <f t="shared" si="70"/>
        <v/>
      </c>
      <c r="G1133" s="31">
        <f t="shared" si="72"/>
        <v>0</v>
      </c>
      <c r="H1133" s="31" t="str">
        <f t="shared" si="71"/>
        <v xml:space="preserve"> </v>
      </c>
      <c r="I1133" s="91" t="s">
        <v>387</v>
      </c>
      <c r="J1133" s="31">
        <v>92701000</v>
      </c>
      <c r="M1133" s="31">
        <f t="shared" si="69"/>
        <v>0</v>
      </c>
    </row>
    <row r="1134" spans="6:13" x14ac:dyDescent="0.25">
      <c r="F1134" s="92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1" t="s">
        <v>387</v>
      </c>
      <c r="J1134" s="31">
        <v>92701000</v>
      </c>
      <c r="M1134" s="31">
        <f t="shared" si="69"/>
        <v>0</v>
      </c>
    </row>
    <row r="1135" spans="6:13" x14ac:dyDescent="0.25">
      <c r="F1135" s="92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1" t="s">
        <v>387</v>
      </c>
      <c r="J1135" s="31">
        <v>92701000</v>
      </c>
      <c r="M1135" s="31">
        <f t="shared" si="69"/>
        <v>0</v>
      </c>
    </row>
    <row r="1136" spans="6:13" x14ac:dyDescent="0.25">
      <c r="F1136" s="92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1" t="s">
        <v>387</v>
      </c>
      <c r="J1136" s="31">
        <v>92701000</v>
      </c>
      <c r="M1136" s="31">
        <f t="shared" si="69"/>
        <v>0</v>
      </c>
    </row>
    <row r="1137" spans="6:13" x14ac:dyDescent="0.25">
      <c r="F1137" s="92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1" t="s">
        <v>387</v>
      </c>
      <c r="J1137" s="31">
        <v>92701000</v>
      </c>
      <c r="M1137" s="31">
        <f t="shared" si="69"/>
        <v>0</v>
      </c>
    </row>
    <row r="1138" spans="6:13" x14ac:dyDescent="0.25">
      <c r="F1138" s="92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1" t="s">
        <v>387</v>
      </c>
      <c r="J1138" s="31">
        <v>92701000</v>
      </c>
      <c r="M1138" s="31">
        <f t="shared" si="69"/>
        <v>0</v>
      </c>
    </row>
    <row r="1139" spans="6:13" x14ac:dyDescent="0.25">
      <c r="F1139" s="92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1" t="s">
        <v>387</v>
      </c>
      <c r="J1139" s="31">
        <v>92701000</v>
      </c>
      <c r="M1139" s="31">
        <f t="shared" si="69"/>
        <v>0</v>
      </c>
    </row>
    <row r="1140" spans="6:13" x14ac:dyDescent="0.25">
      <c r="F1140" s="92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1" t="s">
        <v>387</v>
      </c>
      <c r="J1140" s="31">
        <v>92701000</v>
      </c>
      <c r="M1140" s="31">
        <f t="shared" si="69"/>
        <v>0</v>
      </c>
    </row>
    <row r="1141" spans="6:13" x14ac:dyDescent="0.25">
      <c r="F1141" s="92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1" t="s">
        <v>387</v>
      </c>
      <c r="J1141" s="31">
        <v>92701000</v>
      </c>
      <c r="M1141" s="31">
        <f t="shared" ref="M1141:M1204" si="73">E1141</f>
        <v>0</v>
      </c>
    </row>
    <row r="1142" spans="6:13" x14ac:dyDescent="0.25">
      <c r="F1142" s="92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1" t="s">
        <v>387</v>
      </c>
      <c r="J1142" s="31">
        <v>92701000</v>
      </c>
      <c r="M1142" s="31">
        <f t="shared" si="73"/>
        <v>0</v>
      </c>
    </row>
    <row r="1143" spans="6:13" x14ac:dyDescent="0.25">
      <c r="F1143" s="92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1" t="s">
        <v>387</v>
      </c>
      <c r="J1143" s="31">
        <v>92701000</v>
      </c>
      <c r="M1143" s="31">
        <f t="shared" si="73"/>
        <v>0</v>
      </c>
    </row>
    <row r="1144" spans="6:13" x14ac:dyDescent="0.25">
      <c r="F1144" s="92" t="str">
        <f t="shared" ref="F1144:F1207" si="74">TRIM(A1144)</f>
        <v/>
      </c>
      <c r="G1144" s="31">
        <f t="shared" si="72"/>
        <v>0</v>
      </c>
      <c r="H1144" s="31" t="str">
        <f t="shared" ref="H1144:H1207" si="75">CONCATENATE(TRIM(C1144)," ",D1144)</f>
        <v xml:space="preserve"> </v>
      </c>
      <c r="I1144" s="91" t="s">
        <v>387</v>
      </c>
      <c r="J1144" s="31">
        <v>92701000</v>
      </c>
      <c r="M1144" s="31">
        <f t="shared" si="73"/>
        <v>0</v>
      </c>
    </row>
    <row r="1145" spans="6:13" x14ac:dyDescent="0.25">
      <c r="F1145" s="92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1" t="s">
        <v>387</v>
      </c>
      <c r="J1145" s="31">
        <v>92701000</v>
      </c>
      <c r="M1145" s="31">
        <f t="shared" si="73"/>
        <v>0</v>
      </c>
    </row>
    <row r="1146" spans="6:13" x14ac:dyDescent="0.25">
      <c r="F1146" s="92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1" t="s">
        <v>387</v>
      </c>
      <c r="J1146" s="31">
        <v>92701000</v>
      </c>
      <c r="M1146" s="31">
        <f t="shared" si="73"/>
        <v>0</v>
      </c>
    </row>
    <row r="1147" spans="6:13" x14ac:dyDescent="0.25">
      <c r="F1147" s="92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1" t="s">
        <v>387</v>
      </c>
      <c r="J1147" s="31">
        <v>92701000</v>
      </c>
      <c r="M1147" s="31">
        <f t="shared" si="73"/>
        <v>0</v>
      </c>
    </row>
    <row r="1148" spans="6:13" x14ac:dyDescent="0.25">
      <c r="F1148" s="92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1" t="s">
        <v>387</v>
      </c>
      <c r="J1148" s="31">
        <v>92701000</v>
      </c>
      <c r="M1148" s="31">
        <f t="shared" si="73"/>
        <v>0</v>
      </c>
    </row>
    <row r="1149" spans="6:13" x14ac:dyDescent="0.25">
      <c r="F1149" s="92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1" t="s">
        <v>387</v>
      </c>
      <c r="J1149" s="31">
        <v>92701000</v>
      </c>
      <c r="M1149" s="31">
        <f t="shared" si="73"/>
        <v>0</v>
      </c>
    </row>
    <row r="1150" spans="6:13" x14ac:dyDescent="0.25">
      <c r="F1150" s="92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1" t="s">
        <v>387</v>
      </c>
      <c r="J1150" s="31">
        <v>92701000</v>
      </c>
      <c r="M1150" s="31">
        <f t="shared" si="73"/>
        <v>0</v>
      </c>
    </row>
    <row r="1151" spans="6:13" x14ac:dyDescent="0.25">
      <c r="F1151" s="92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1" t="s">
        <v>387</v>
      </c>
      <c r="J1151" s="31">
        <v>92701000</v>
      </c>
      <c r="M1151" s="31">
        <f t="shared" si="73"/>
        <v>0</v>
      </c>
    </row>
    <row r="1152" spans="6:13" x14ac:dyDescent="0.25">
      <c r="F1152" s="92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1" t="s">
        <v>387</v>
      </c>
      <c r="J1152" s="31">
        <v>92701000</v>
      </c>
      <c r="M1152" s="31">
        <f t="shared" si="73"/>
        <v>0</v>
      </c>
    </row>
    <row r="1153" spans="6:13" x14ac:dyDescent="0.25">
      <c r="F1153" s="92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2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2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2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2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2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2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2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2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2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2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2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2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2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2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2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2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2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2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2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2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2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2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2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2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2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2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2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2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2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2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2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2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2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2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2" t="str">
        <f t="shared" si="74"/>
        <v/>
      </c>
      <c r="G1188" s="31">
        <f t="shared" ref="G1188:G1251" si="76">B1188</f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2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2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2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2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si="73"/>
        <v>0</v>
      </c>
    </row>
    <row r="1193" spans="6:13" x14ac:dyDescent="0.25">
      <c r="F1193" s="92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3"/>
        <v>0</v>
      </c>
    </row>
    <row r="1194" spans="6:13" x14ac:dyDescent="0.25">
      <c r="F1194" s="92" t="str">
        <f t="shared" si="74"/>
        <v/>
      </c>
      <c r="G1194" s="31">
        <f t="shared" si="76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3"/>
        <v>0</v>
      </c>
    </row>
    <row r="1195" spans="6:13" x14ac:dyDescent="0.25">
      <c r="F1195" s="92" t="str">
        <f t="shared" si="74"/>
        <v/>
      </c>
      <c r="G1195" s="31">
        <f t="shared" si="76"/>
        <v>0</v>
      </c>
      <c r="H1195" s="31" t="str">
        <f t="shared" si="75"/>
        <v xml:space="preserve"> </v>
      </c>
      <c r="I1195" s="91" t="s">
        <v>387</v>
      </c>
      <c r="J1195" s="31">
        <v>92701000</v>
      </c>
      <c r="M1195" s="31">
        <f t="shared" si="73"/>
        <v>0</v>
      </c>
    </row>
    <row r="1196" spans="6:13" x14ac:dyDescent="0.25">
      <c r="F1196" s="92" t="str">
        <f t="shared" si="74"/>
        <v/>
      </c>
      <c r="G1196" s="31">
        <f t="shared" si="76"/>
        <v>0</v>
      </c>
      <c r="H1196" s="31" t="str">
        <f t="shared" si="75"/>
        <v xml:space="preserve"> </v>
      </c>
      <c r="I1196" s="91" t="s">
        <v>387</v>
      </c>
      <c r="J1196" s="31">
        <v>92701000</v>
      </c>
      <c r="M1196" s="31">
        <f t="shared" si="73"/>
        <v>0</v>
      </c>
    </row>
    <row r="1197" spans="6:13" x14ac:dyDescent="0.25">
      <c r="F1197" s="92" t="str">
        <f t="shared" si="74"/>
        <v/>
      </c>
      <c r="G1197" s="31">
        <f t="shared" si="76"/>
        <v>0</v>
      </c>
      <c r="H1197" s="31" t="str">
        <f t="shared" si="75"/>
        <v xml:space="preserve"> </v>
      </c>
      <c r="I1197" s="91" t="s">
        <v>387</v>
      </c>
      <c r="J1197" s="31">
        <v>92701000</v>
      </c>
      <c r="M1197" s="31">
        <f t="shared" si="73"/>
        <v>0</v>
      </c>
    </row>
    <row r="1198" spans="6:13" x14ac:dyDescent="0.25">
      <c r="F1198" s="92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1" t="s">
        <v>387</v>
      </c>
      <c r="J1198" s="31">
        <v>92701000</v>
      </c>
      <c r="M1198" s="31">
        <f t="shared" si="73"/>
        <v>0</v>
      </c>
    </row>
    <row r="1199" spans="6:13" x14ac:dyDescent="0.25">
      <c r="F1199" s="92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1" t="s">
        <v>387</v>
      </c>
      <c r="J1199" s="31">
        <v>92701000</v>
      </c>
      <c r="M1199" s="31">
        <f t="shared" si="73"/>
        <v>0</v>
      </c>
    </row>
    <row r="1200" spans="6:13" x14ac:dyDescent="0.25">
      <c r="F1200" s="92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1" t="s">
        <v>387</v>
      </c>
      <c r="J1200" s="31">
        <v>92701000</v>
      </c>
      <c r="M1200" s="31">
        <f t="shared" si="73"/>
        <v>0</v>
      </c>
    </row>
    <row r="1201" spans="6:13" x14ac:dyDescent="0.25">
      <c r="F1201" s="92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1" t="s">
        <v>387</v>
      </c>
      <c r="J1201" s="31">
        <v>92701000</v>
      </c>
      <c r="M1201" s="31">
        <f t="shared" si="73"/>
        <v>0</v>
      </c>
    </row>
    <row r="1202" spans="6:13" x14ac:dyDescent="0.25">
      <c r="F1202" s="92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1" t="s">
        <v>387</v>
      </c>
      <c r="J1202" s="31">
        <v>92701000</v>
      </c>
      <c r="M1202" s="31">
        <f t="shared" si="73"/>
        <v>0</v>
      </c>
    </row>
    <row r="1203" spans="6:13" x14ac:dyDescent="0.25">
      <c r="F1203" s="92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1" t="s">
        <v>387</v>
      </c>
      <c r="J1203" s="31">
        <v>92701000</v>
      </c>
      <c r="M1203" s="31">
        <f t="shared" si="73"/>
        <v>0</v>
      </c>
    </row>
    <row r="1204" spans="6:13" x14ac:dyDescent="0.25">
      <c r="F1204" s="92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1" t="s">
        <v>387</v>
      </c>
      <c r="J1204" s="31">
        <v>92701000</v>
      </c>
      <c r="M1204" s="31">
        <f t="shared" si="73"/>
        <v>0</v>
      </c>
    </row>
    <row r="1205" spans="6:13" x14ac:dyDescent="0.25">
      <c r="F1205" s="92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1" t="s">
        <v>387</v>
      </c>
      <c r="J1205" s="31">
        <v>92701000</v>
      </c>
      <c r="M1205" s="31">
        <f t="shared" ref="M1205:M1268" si="77">E1205</f>
        <v>0</v>
      </c>
    </row>
    <row r="1206" spans="6:13" x14ac:dyDescent="0.25">
      <c r="F1206" s="92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1" t="s">
        <v>387</v>
      </c>
      <c r="J1206" s="31">
        <v>92701000</v>
      </c>
      <c r="M1206" s="31">
        <f t="shared" si="77"/>
        <v>0</v>
      </c>
    </row>
    <row r="1207" spans="6:13" x14ac:dyDescent="0.25">
      <c r="F1207" s="92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1" t="s">
        <v>387</v>
      </c>
      <c r="J1207" s="31">
        <v>92701000</v>
      </c>
      <c r="M1207" s="31">
        <f t="shared" si="77"/>
        <v>0</v>
      </c>
    </row>
    <row r="1208" spans="6:13" x14ac:dyDescent="0.25">
      <c r="F1208" s="92" t="str">
        <f t="shared" ref="F1208:F1271" si="78">TRIM(A1208)</f>
        <v/>
      </c>
      <c r="G1208" s="31">
        <f t="shared" si="76"/>
        <v>0</v>
      </c>
      <c r="H1208" s="31" t="str">
        <f t="shared" ref="H1208:H1271" si="79">CONCATENATE(TRIM(C1208)," ",D1208)</f>
        <v xml:space="preserve"> </v>
      </c>
      <c r="I1208" s="91" t="s">
        <v>387</v>
      </c>
      <c r="J1208" s="31">
        <v>92701000</v>
      </c>
      <c r="M1208" s="31">
        <f t="shared" si="77"/>
        <v>0</v>
      </c>
    </row>
    <row r="1209" spans="6:13" x14ac:dyDescent="0.25">
      <c r="F1209" s="92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1" t="s">
        <v>387</v>
      </c>
      <c r="J1209" s="31">
        <v>92701000</v>
      </c>
      <c r="M1209" s="31">
        <f t="shared" si="77"/>
        <v>0</v>
      </c>
    </row>
    <row r="1210" spans="6:13" x14ac:dyDescent="0.25">
      <c r="F1210" s="92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1" t="s">
        <v>387</v>
      </c>
      <c r="J1210" s="31">
        <v>92701000</v>
      </c>
      <c r="M1210" s="31">
        <f t="shared" si="77"/>
        <v>0</v>
      </c>
    </row>
    <row r="1211" spans="6:13" x14ac:dyDescent="0.25">
      <c r="F1211" s="92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1" t="s">
        <v>387</v>
      </c>
      <c r="J1211" s="31">
        <v>92701000</v>
      </c>
      <c r="M1211" s="31">
        <f t="shared" si="77"/>
        <v>0</v>
      </c>
    </row>
    <row r="1212" spans="6:13" x14ac:dyDescent="0.25">
      <c r="F1212" s="92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1" t="s">
        <v>387</v>
      </c>
      <c r="J1212" s="31">
        <v>92701000</v>
      </c>
      <c r="M1212" s="31">
        <f t="shared" si="77"/>
        <v>0</v>
      </c>
    </row>
    <row r="1213" spans="6:13" x14ac:dyDescent="0.25">
      <c r="F1213" s="92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1" t="s">
        <v>387</v>
      </c>
      <c r="J1213" s="31">
        <v>92701000</v>
      </c>
      <c r="M1213" s="31">
        <f t="shared" si="77"/>
        <v>0</v>
      </c>
    </row>
    <row r="1214" spans="6:13" x14ac:dyDescent="0.25">
      <c r="F1214" s="92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1" t="s">
        <v>387</v>
      </c>
      <c r="J1214" s="31">
        <v>92701000</v>
      </c>
      <c r="M1214" s="31">
        <f t="shared" si="77"/>
        <v>0</v>
      </c>
    </row>
    <row r="1215" spans="6:13" x14ac:dyDescent="0.25">
      <c r="F1215" s="92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1" t="s">
        <v>387</v>
      </c>
      <c r="J1215" s="31">
        <v>92701000</v>
      </c>
      <c r="M1215" s="31">
        <f t="shared" si="77"/>
        <v>0</v>
      </c>
    </row>
    <row r="1216" spans="6:13" x14ac:dyDescent="0.25">
      <c r="F1216" s="92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1" t="s">
        <v>387</v>
      </c>
      <c r="J1216" s="31">
        <v>92701000</v>
      </c>
      <c r="M1216" s="31">
        <f t="shared" si="77"/>
        <v>0</v>
      </c>
    </row>
    <row r="1217" spans="6:13" x14ac:dyDescent="0.25">
      <c r="F1217" s="92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2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2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2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2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2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2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2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2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2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2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2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2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2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2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2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2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2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2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2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2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2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2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2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2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2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2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2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2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2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2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2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2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2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2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2" t="str">
        <f t="shared" si="78"/>
        <v/>
      </c>
      <c r="G1252" s="31">
        <f t="shared" ref="G1252:G1286" si="80">B1252</f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2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2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2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2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si="77"/>
        <v>0</v>
      </c>
    </row>
    <row r="1257" spans="6:13" x14ac:dyDescent="0.25">
      <c r="F1257" s="92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77"/>
        <v>0</v>
      </c>
    </row>
    <row r="1258" spans="6:13" x14ac:dyDescent="0.25">
      <c r="F1258" s="92" t="str">
        <f t="shared" si="78"/>
        <v/>
      </c>
      <c r="G1258" s="31">
        <f t="shared" si="80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77"/>
        <v>0</v>
      </c>
    </row>
    <row r="1259" spans="6:13" x14ac:dyDescent="0.25">
      <c r="F1259" s="92" t="str">
        <f t="shared" si="78"/>
        <v/>
      </c>
      <c r="G1259" s="31">
        <f t="shared" si="80"/>
        <v>0</v>
      </c>
      <c r="H1259" s="31" t="str">
        <f t="shared" si="79"/>
        <v xml:space="preserve"> </v>
      </c>
      <c r="I1259" s="91" t="s">
        <v>387</v>
      </c>
      <c r="J1259" s="31">
        <v>92701000</v>
      </c>
      <c r="M1259" s="31">
        <f t="shared" si="77"/>
        <v>0</v>
      </c>
    </row>
    <row r="1260" spans="6:13" x14ac:dyDescent="0.25">
      <c r="F1260" s="92" t="str">
        <f t="shared" si="78"/>
        <v/>
      </c>
      <c r="G1260" s="31">
        <f t="shared" si="80"/>
        <v>0</v>
      </c>
      <c r="H1260" s="31" t="str">
        <f t="shared" si="79"/>
        <v xml:space="preserve"> </v>
      </c>
      <c r="I1260" s="91" t="s">
        <v>387</v>
      </c>
      <c r="J1260" s="31">
        <v>92701000</v>
      </c>
      <c r="M1260" s="31">
        <f t="shared" si="77"/>
        <v>0</v>
      </c>
    </row>
    <row r="1261" spans="6:13" x14ac:dyDescent="0.25">
      <c r="F1261" s="92" t="str">
        <f t="shared" si="78"/>
        <v/>
      </c>
      <c r="G1261" s="31">
        <f t="shared" si="80"/>
        <v>0</v>
      </c>
      <c r="H1261" s="31" t="str">
        <f t="shared" si="79"/>
        <v xml:space="preserve"> </v>
      </c>
      <c r="I1261" s="91" t="s">
        <v>387</v>
      </c>
      <c r="J1261" s="31">
        <v>92701000</v>
      </c>
      <c r="M1261" s="31">
        <f t="shared" si="77"/>
        <v>0</v>
      </c>
    </row>
    <row r="1262" spans="6:13" x14ac:dyDescent="0.25">
      <c r="F1262" s="92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1" t="s">
        <v>387</v>
      </c>
      <c r="J1262" s="31">
        <v>92701000</v>
      </c>
      <c r="M1262" s="31">
        <f t="shared" si="77"/>
        <v>0</v>
      </c>
    </row>
    <row r="1263" spans="6:13" x14ac:dyDescent="0.25">
      <c r="F1263" s="92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1" t="s">
        <v>387</v>
      </c>
      <c r="J1263" s="31">
        <v>92701000</v>
      </c>
      <c r="M1263" s="31">
        <f t="shared" si="77"/>
        <v>0</v>
      </c>
    </row>
    <row r="1264" spans="6:13" x14ac:dyDescent="0.25">
      <c r="F1264" s="92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1" t="s">
        <v>387</v>
      </c>
      <c r="J1264" s="31">
        <v>92701000</v>
      </c>
      <c r="M1264" s="31">
        <f t="shared" si="77"/>
        <v>0</v>
      </c>
    </row>
    <row r="1265" spans="6:13" x14ac:dyDescent="0.25">
      <c r="F1265" s="92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1" t="s">
        <v>387</v>
      </c>
      <c r="J1265" s="31">
        <v>92701000</v>
      </c>
      <c r="M1265" s="31">
        <f t="shared" si="77"/>
        <v>0</v>
      </c>
    </row>
    <row r="1266" spans="6:13" x14ac:dyDescent="0.25">
      <c r="F1266" s="92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1" t="s">
        <v>387</v>
      </c>
      <c r="J1266" s="31">
        <v>92701000</v>
      </c>
      <c r="M1266" s="31">
        <f t="shared" si="77"/>
        <v>0</v>
      </c>
    </row>
    <row r="1267" spans="6:13" x14ac:dyDescent="0.25">
      <c r="F1267" s="92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1" t="s">
        <v>387</v>
      </c>
      <c r="J1267" s="31">
        <v>92701000</v>
      </c>
      <c r="M1267" s="31">
        <f t="shared" si="77"/>
        <v>0</v>
      </c>
    </row>
    <row r="1268" spans="6:13" x14ac:dyDescent="0.25">
      <c r="F1268" s="92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1" t="s">
        <v>387</v>
      </c>
      <c r="J1268" s="31">
        <v>92701000</v>
      </c>
      <c r="M1268" s="31">
        <f t="shared" si="77"/>
        <v>0</v>
      </c>
    </row>
    <row r="1269" spans="6:13" x14ac:dyDescent="0.25">
      <c r="F1269" s="92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1" t="s">
        <v>387</v>
      </c>
      <c r="J1269" s="31">
        <v>92701000</v>
      </c>
      <c r="M1269" s="31">
        <f t="shared" ref="M1269:M1286" si="81">E1269</f>
        <v>0</v>
      </c>
    </row>
    <row r="1270" spans="6:13" x14ac:dyDescent="0.25">
      <c r="F1270" s="92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1" t="s">
        <v>387</v>
      </c>
      <c r="J1270" s="31">
        <v>92701000</v>
      </c>
      <c r="M1270" s="31">
        <f t="shared" si="81"/>
        <v>0</v>
      </c>
    </row>
    <row r="1271" spans="6:13" x14ac:dyDescent="0.25">
      <c r="F1271" s="92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1" t="s">
        <v>387</v>
      </c>
      <c r="J1271" s="31">
        <v>92701000</v>
      </c>
      <c r="M1271" s="31">
        <f t="shared" si="81"/>
        <v>0</v>
      </c>
    </row>
    <row r="1272" spans="6:13" x14ac:dyDescent="0.25">
      <c r="F1272" s="92" t="str">
        <f t="shared" ref="F1272:F1286" si="82">TRIM(A1272)</f>
        <v/>
      </c>
      <c r="G1272" s="31">
        <f t="shared" si="80"/>
        <v>0</v>
      </c>
      <c r="H1272" s="31" t="str">
        <f t="shared" ref="H1272:H1297" si="83">CONCATENATE(TRIM(C1272)," ",D1272)</f>
        <v xml:space="preserve"> </v>
      </c>
      <c r="I1272" s="91" t="s">
        <v>387</v>
      </c>
      <c r="J1272" s="31">
        <v>92701000</v>
      </c>
      <c r="M1272" s="31">
        <f t="shared" si="81"/>
        <v>0</v>
      </c>
    </row>
    <row r="1273" spans="6:13" x14ac:dyDescent="0.25">
      <c r="F1273" s="92" t="str">
        <f t="shared" si="82"/>
        <v/>
      </c>
      <c r="G1273" s="31">
        <f t="shared" si="80"/>
        <v>0</v>
      </c>
      <c r="H1273" s="31" t="str">
        <f t="shared" si="83"/>
        <v xml:space="preserve"> </v>
      </c>
      <c r="I1273" s="91" t="s">
        <v>387</v>
      </c>
      <c r="J1273" s="31">
        <v>92701000</v>
      </c>
      <c r="M1273" s="31">
        <f t="shared" si="81"/>
        <v>0</v>
      </c>
    </row>
    <row r="1274" spans="6:13" x14ac:dyDescent="0.25">
      <c r="F1274" s="92" t="str">
        <f t="shared" si="82"/>
        <v/>
      </c>
      <c r="G1274" s="31">
        <f t="shared" si="80"/>
        <v>0</v>
      </c>
      <c r="H1274" s="31" t="str">
        <f t="shared" si="83"/>
        <v xml:space="preserve"> </v>
      </c>
      <c r="I1274" s="91" t="s">
        <v>387</v>
      </c>
      <c r="J1274" s="31">
        <v>92701000</v>
      </c>
      <c r="M1274" s="31">
        <f t="shared" si="81"/>
        <v>0</v>
      </c>
    </row>
    <row r="1275" spans="6:13" x14ac:dyDescent="0.25">
      <c r="F1275" s="92" t="str">
        <f t="shared" si="82"/>
        <v/>
      </c>
      <c r="G1275" s="31">
        <f t="shared" si="80"/>
        <v>0</v>
      </c>
      <c r="H1275" s="31" t="str">
        <f t="shared" si="83"/>
        <v xml:space="preserve"> </v>
      </c>
      <c r="I1275" s="91" t="s">
        <v>387</v>
      </c>
      <c r="J1275" s="31">
        <v>92701000</v>
      </c>
      <c r="M1275" s="31">
        <f t="shared" si="81"/>
        <v>0</v>
      </c>
    </row>
    <row r="1276" spans="6:13" x14ac:dyDescent="0.25">
      <c r="F1276" s="92" t="str">
        <f t="shared" si="82"/>
        <v/>
      </c>
      <c r="G1276" s="31">
        <f t="shared" si="80"/>
        <v>0</v>
      </c>
      <c r="H1276" s="31" t="str">
        <f t="shared" si="83"/>
        <v xml:space="preserve"> </v>
      </c>
      <c r="I1276" s="91" t="s">
        <v>387</v>
      </c>
      <c r="J1276" s="31">
        <v>92701000</v>
      </c>
      <c r="M1276" s="31">
        <f t="shared" si="81"/>
        <v>0</v>
      </c>
    </row>
    <row r="1277" spans="6:13" x14ac:dyDescent="0.25">
      <c r="F1277" s="92" t="str">
        <f t="shared" si="82"/>
        <v/>
      </c>
      <c r="G1277" s="31">
        <f t="shared" si="80"/>
        <v>0</v>
      </c>
      <c r="H1277" s="31" t="str">
        <f t="shared" si="83"/>
        <v xml:space="preserve"> </v>
      </c>
      <c r="I1277" s="91" t="s">
        <v>387</v>
      </c>
      <c r="J1277" s="31">
        <v>92701000</v>
      </c>
      <c r="M1277" s="31">
        <f t="shared" si="81"/>
        <v>0</v>
      </c>
    </row>
    <row r="1278" spans="6:13" x14ac:dyDescent="0.25">
      <c r="F1278" s="92" t="str">
        <f t="shared" si="82"/>
        <v/>
      </c>
      <c r="G1278" s="31">
        <f t="shared" si="80"/>
        <v>0</v>
      </c>
      <c r="H1278" s="31" t="str">
        <f t="shared" si="83"/>
        <v xml:space="preserve"> </v>
      </c>
      <c r="I1278" s="91" t="s">
        <v>387</v>
      </c>
      <c r="J1278" s="31">
        <v>92701000</v>
      </c>
      <c r="M1278" s="31">
        <f t="shared" si="81"/>
        <v>0</v>
      </c>
    </row>
    <row r="1279" spans="6:13" x14ac:dyDescent="0.25">
      <c r="F1279" s="92" t="str">
        <f t="shared" si="82"/>
        <v/>
      </c>
      <c r="G1279" s="31">
        <f t="shared" si="80"/>
        <v>0</v>
      </c>
      <c r="H1279" s="31" t="str">
        <f t="shared" si="83"/>
        <v xml:space="preserve"> </v>
      </c>
      <c r="I1279" s="91" t="s">
        <v>387</v>
      </c>
      <c r="J1279" s="31">
        <v>92701000</v>
      </c>
      <c r="M1279" s="31">
        <f t="shared" si="81"/>
        <v>0</v>
      </c>
    </row>
    <row r="1280" spans="6:13" x14ac:dyDescent="0.25">
      <c r="F1280" s="92" t="str">
        <f t="shared" si="82"/>
        <v/>
      </c>
      <c r="G1280" s="31">
        <f t="shared" si="80"/>
        <v>0</v>
      </c>
      <c r="H1280" s="31" t="str">
        <f t="shared" si="83"/>
        <v xml:space="preserve"> </v>
      </c>
      <c r="I1280" s="91" t="s">
        <v>387</v>
      </c>
      <c r="J1280" s="31">
        <v>92701000</v>
      </c>
      <c r="M1280" s="31">
        <f t="shared" si="81"/>
        <v>0</v>
      </c>
    </row>
    <row r="1281" spans="6:13" x14ac:dyDescent="0.25">
      <c r="F1281" s="92" t="str">
        <f t="shared" si="82"/>
        <v/>
      </c>
      <c r="G1281" s="31">
        <f t="shared" si="80"/>
        <v>0</v>
      </c>
      <c r="H1281" s="31" t="str">
        <f t="shared" si="83"/>
        <v xml:space="preserve"> </v>
      </c>
      <c r="I1281" s="91" t="s">
        <v>387</v>
      </c>
      <c r="J1281" s="31">
        <v>92701000</v>
      </c>
      <c r="M1281" s="31">
        <f t="shared" si="81"/>
        <v>0</v>
      </c>
    </row>
    <row r="1282" spans="6:13" x14ac:dyDescent="0.25">
      <c r="F1282" s="92" t="str">
        <f t="shared" si="82"/>
        <v/>
      </c>
      <c r="G1282" s="31">
        <f t="shared" si="80"/>
        <v>0</v>
      </c>
      <c r="H1282" s="31" t="str">
        <f t="shared" si="83"/>
        <v xml:space="preserve"> </v>
      </c>
      <c r="I1282" s="91" t="s">
        <v>387</v>
      </c>
      <c r="J1282" s="31">
        <v>92701000</v>
      </c>
      <c r="M1282" s="31">
        <f t="shared" si="81"/>
        <v>0</v>
      </c>
    </row>
    <row r="1283" spans="6:13" x14ac:dyDescent="0.25">
      <c r="F1283" s="92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1" t="s">
        <v>387</v>
      </c>
      <c r="J1283" s="31">
        <v>92701000</v>
      </c>
      <c r="M1283" s="31">
        <f t="shared" si="81"/>
        <v>0</v>
      </c>
    </row>
    <row r="1284" spans="6:13" x14ac:dyDescent="0.25">
      <c r="F1284" s="92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1" t="s">
        <v>387</v>
      </c>
      <c r="J1284" s="31">
        <v>92701000</v>
      </c>
      <c r="M1284" s="31">
        <f t="shared" si="81"/>
        <v>0</v>
      </c>
    </row>
    <row r="1285" spans="6:13" x14ac:dyDescent="0.25">
      <c r="F1285" s="92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1" t="s">
        <v>387</v>
      </c>
      <c r="J1285" s="31">
        <v>92701000</v>
      </c>
      <c r="M1285" s="31">
        <f t="shared" si="81"/>
        <v>0</v>
      </c>
    </row>
    <row r="1286" spans="6:13" x14ac:dyDescent="0.25">
      <c r="F1286" s="92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1" t="s">
        <v>387</v>
      </c>
      <c r="J1286" s="31">
        <v>92701000</v>
      </c>
      <c r="M1286" s="31">
        <f t="shared" si="81"/>
        <v>0</v>
      </c>
    </row>
    <row r="1287" spans="6:13" x14ac:dyDescent="0.25">
      <c r="G1287" s="31">
        <f t="shared" ref="G1287:G1297" si="84">B1287</f>
        <v>0</v>
      </c>
      <c r="H1287" s="31" t="str">
        <f t="shared" si="83"/>
        <v xml:space="preserve"> </v>
      </c>
      <c r="I1287" s="91" t="s">
        <v>387</v>
      </c>
      <c r="J1287" s="31">
        <v>92701000</v>
      </c>
    </row>
    <row r="1288" spans="6:13" x14ac:dyDescent="0.25">
      <c r="G1288" s="31">
        <f t="shared" si="84"/>
        <v>0</v>
      </c>
      <c r="H1288" s="31" t="str">
        <f t="shared" si="83"/>
        <v xml:space="preserve"> </v>
      </c>
      <c r="I1288" s="91" t="s">
        <v>387</v>
      </c>
      <c r="J1288" s="31">
        <v>92701000</v>
      </c>
    </row>
    <row r="1289" spans="6:13" x14ac:dyDescent="0.25">
      <c r="G1289" s="31">
        <f t="shared" si="84"/>
        <v>0</v>
      </c>
      <c r="H1289" s="31" t="str">
        <f t="shared" si="83"/>
        <v xml:space="preserve"> </v>
      </c>
      <c r="I1289" s="91" t="s">
        <v>387</v>
      </c>
      <c r="J1289" s="31">
        <v>92701000</v>
      </c>
    </row>
    <row r="1290" spans="6:13" x14ac:dyDescent="0.25">
      <c r="G1290" s="31">
        <f t="shared" si="84"/>
        <v>0</v>
      </c>
      <c r="H1290" s="31" t="str">
        <f t="shared" si="83"/>
        <v xml:space="preserve"> </v>
      </c>
      <c r="I1290" s="91" t="s">
        <v>387</v>
      </c>
      <c r="J1290" s="31">
        <v>92701000</v>
      </c>
    </row>
    <row r="1291" spans="6:13" x14ac:dyDescent="0.25">
      <c r="G1291" s="31">
        <f t="shared" si="84"/>
        <v>0</v>
      </c>
      <c r="H1291" s="31" t="str">
        <f t="shared" si="83"/>
        <v xml:space="preserve"> </v>
      </c>
      <c r="I1291" s="91" t="s">
        <v>387</v>
      </c>
      <c r="J1291" s="31">
        <v>92701000</v>
      </c>
    </row>
    <row r="1292" spans="6:13" x14ac:dyDescent="0.25">
      <c r="G1292" s="31">
        <f t="shared" si="84"/>
        <v>0</v>
      </c>
      <c r="H1292" s="31" t="str">
        <f t="shared" si="83"/>
        <v xml:space="preserve"> </v>
      </c>
      <c r="I1292" s="91" t="s">
        <v>387</v>
      </c>
      <c r="J1292" s="31">
        <v>92701000</v>
      </c>
    </row>
    <row r="1293" spans="6:13" x14ac:dyDescent="0.25">
      <c r="G1293" s="31">
        <f t="shared" si="84"/>
        <v>0</v>
      </c>
      <c r="H1293" s="31" t="str">
        <f t="shared" si="83"/>
        <v xml:space="preserve"> </v>
      </c>
      <c r="I1293" s="91" t="s">
        <v>387</v>
      </c>
      <c r="J1293" s="31">
        <v>92701000</v>
      </c>
    </row>
    <row r="1294" spans="6:13" x14ac:dyDescent="0.25">
      <c r="G1294" s="31">
        <f t="shared" si="84"/>
        <v>0</v>
      </c>
      <c r="H1294" s="31" t="str">
        <f t="shared" si="83"/>
        <v xml:space="preserve"> </v>
      </c>
      <c r="I1294" s="91" t="s">
        <v>387</v>
      </c>
      <c r="J1294" s="31">
        <v>92701000</v>
      </c>
    </row>
    <row r="1295" spans="6:13" x14ac:dyDescent="0.25">
      <c r="G1295" s="31">
        <f t="shared" si="84"/>
        <v>0</v>
      </c>
      <c r="H1295" s="31" t="str">
        <f t="shared" si="83"/>
        <v xml:space="preserve"> </v>
      </c>
      <c r="I1295" s="91" t="s">
        <v>387</v>
      </c>
      <c r="J1295" s="31">
        <v>92701000</v>
      </c>
    </row>
    <row r="1296" spans="6:13" x14ac:dyDescent="0.25">
      <c r="G1296" s="31">
        <f t="shared" si="84"/>
        <v>0</v>
      </c>
      <c r="H1296" s="31" t="str">
        <f t="shared" si="83"/>
        <v xml:space="preserve"> </v>
      </c>
      <c r="I1296" s="91" t="s">
        <v>387</v>
      </c>
      <c r="J1296" s="31">
        <v>92701000</v>
      </c>
    </row>
    <row r="1297" spans="7:10" x14ac:dyDescent="0.25">
      <c r="G1297" s="31">
        <f t="shared" si="84"/>
        <v>0</v>
      </c>
      <c r="H1297" s="31" t="str">
        <f t="shared" si="83"/>
        <v xml:space="preserve"> </v>
      </c>
      <c r="I1297" s="91" t="s">
        <v>387</v>
      </c>
      <c r="J1297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8"/>
  <sheetViews>
    <sheetView tabSelected="1" workbookViewId="0">
      <pane ySplit="6" topLeftCell="A7" activePane="bottomLeft" state="frozen"/>
      <selection activeCell="A2" sqref="A2"/>
      <selection pane="bottomLeft" activeCell="A9" sqref="A9:XFD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1657032924_03234643927010001100__05.04.2023.TXT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19950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156" t="s">
        <v>426</v>
      </c>
      <c r="B7" s="85" t="s">
        <v>399</v>
      </c>
      <c r="C7" s="85" t="s">
        <v>466</v>
      </c>
      <c r="D7" s="157" t="s">
        <v>396</v>
      </c>
      <c r="E7" s="85">
        <v>92701000</v>
      </c>
      <c r="F7" s="85"/>
      <c r="G7" s="85"/>
      <c r="H7" s="85">
        <v>5250</v>
      </c>
    </row>
    <row r="8" spans="1:8" s="59" customFormat="1" x14ac:dyDescent="0.25">
      <c r="A8" s="156" t="s">
        <v>400</v>
      </c>
      <c r="B8" s="85" t="s">
        <v>401</v>
      </c>
      <c r="C8" s="85" t="s">
        <v>466</v>
      </c>
      <c r="D8" s="157" t="s">
        <v>396</v>
      </c>
      <c r="E8" s="85">
        <v>92701000</v>
      </c>
      <c r="F8" s="85"/>
      <c r="G8" s="85"/>
      <c r="H8" s="85">
        <v>14700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8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8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8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6" t="str">
        <f>"ИНН "&amp;INN&amp;", БИК "&amp;BIC&amp;", Р/С "&amp;PersonalAcc</f>
        <v>ИНН 1657032924, БИК 019205400, Р/С 03234643927010001100</v>
      </c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28"/>
      <c r="P5" s="28"/>
      <c r="Q5" s="28"/>
      <c r="R5" s="28"/>
      <c r="S5" s="28"/>
      <c r="T5" s="28"/>
      <c r="U5" s="28"/>
      <c r="V5" s="28"/>
      <c r="W5" s="15"/>
      <c r="X5" s="14"/>
      <c r="Y5" s="105" t="str">
        <f>"ИНН "&amp;INN&amp;", БИК "&amp;BIC&amp;", Р/С "&amp;PersonalAcc</f>
        <v>ИНН 1657032924, БИК 019205400, Р/С 03234643927010001100</v>
      </c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6"/>
      <c r="Z15" s="96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 t="str">
        <f>"ИНН "&amp;INN&amp;", БИК "&amp;BIC&amp;", Р/С "&amp;PersonalAcc</f>
        <v>ИНН 1657032924, БИК 019205400, Р/С 03234643927010001100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 t="str">
        <f>"ИНН "&amp;INN&amp;", БИК "&amp;BIC&amp;", Р/С "&amp;PersonalAcc</f>
        <v>ИНН 1657032924, БИК 019205400, Р/С 03234643927010001100</v>
      </c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8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 t="str">
        <f>"ИНН "&amp;INN&amp;", БИК "&amp;BIC&amp;", Р/С "&amp;PersonalAcc</f>
        <v>ИНН 1657032924, БИК 019205400, Р/С 03234643927010001100</v>
      </c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 t="str">
        <f>"ИНН "&amp;INN&amp;", БИК "&amp;BIC&amp;", Р/С "&amp;PersonalAcc</f>
        <v>ИНН 1657032924, БИК 019205400, Р/С 03234643927010001100</v>
      </c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6"/>
      <c r="Z53" s="96"/>
      <c r="AA53" s="96"/>
      <c r="AB53" s="96"/>
      <c r="AC53" s="96"/>
      <c r="AD53" s="96"/>
      <c r="AE53" s="96"/>
      <c r="AF53" s="96"/>
      <c r="AG53" s="96"/>
      <c r="AH53" s="96"/>
      <c r="AI53" s="96"/>
      <c r="AJ53" s="96"/>
      <c r="AK53" s="9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6"/>
      <c r="Z55" s="96"/>
      <c r="AA55" s="96"/>
      <c r="AB55" s="96"/>
      <c r="AC55" s="96"/>
      <c r="AD55" s="96"/>
      <c r="AE55" s="96"/>
      <c r="AF55" s="96"/>
      <c r="AG55" s="96"/>
      <c r="AH55" s="96"/>
      <c r="AI55" s="96"/>
      <c r="AJ55" s="96"/>
      <c r="AK55" s="9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6"/>
      <c r="Z56" s="96"/>
      <c r="AA56" s="96"/>
      <c r="AB56" s="96"/>
      <c r="AC56" s="96"/>
      <c r="AD56" s="96"/>
      <c r="AE56" s="96"/>
      <c r="AF56" s="96"/>
      <c r="AG56" s="96"/>
      <c r="AH56" s="96"/>
      <c r="AI56" s="96"/>
      <c r="AJ56" s="96"/>
      <c r="AK56" s="9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6"/>
      <c r="Z57" s="96"/>
      <c r="AA57" s="96"/>
      <c r="AB57" s="96"/>
      <c r="AC57" s="96"/>
      <c r="AD57" s="96"/>
      <c r="AE57" s="96"/>
      <c r="AF57" s="96"/>
      <c r="AG57" s="96"/>
      <c r="AH57" s="96"/>
      <c r="AI57" s="96"/>
      <c r="AJ57" s="96"/>
      <c r="AK57" s="9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  <c r="AK62" s="9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09" t="s">
        <v>95</v>
      </c>
      <c r="B27" s="109"/>
      <c r="C27" s="109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8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8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8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28"/>
      <c r="P5" s="28"/>
      <c r="Q5" s="28"/>
      <c r="R5" s="28"/>
      <c r="S5" s="28"/>
      <c r="T5" s="28"/>
      <c r="U5" s="28"/>
      <c r="V5" s="28"/>
      <c r="W5" s="15"/>
      <c r="X5" s="14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6"/>
      <c r="Z15" s="96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8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6"/>
      <c r="Z53" s="96"/>
      <c r="AA53" s="96"/>
      <c r="AB53" s="96"/>
      <c r="AC53" s="96"/>
      <c r="AD53" s="96"/>
      <c r="AE53" s="96"/>
      <c r="AF53" s="96"/>
      <c r="AG53" s="96"/>
      <c r="AH53" s="96"/>
      <c r="AI53" s="96"/>
      <c r="AJ53" s="96"/>
      <c r="AK53" s="9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6"/>
      <c r="Z55" s="96"/>
      <c r="AA55" s="96"/>
      <c r="AB55" s="96"/>
      <c r="AC55" s="96"/>
      <c r="AD55" s="96"/>
      <c r="AE55" s="96"/>
      <c r="AF55" s="96"/>
      <c r="AG55" s="96"/>
      <c r="AH55" s="96"/>
      <c r="AI55" s="96"/>
      <c r="AJ55" s="96"/>
      <c r="AK55" s="9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6"/>
      <c r="Z56" s="96"/>
      <c r="AA56" s="96"/>
      <c r="AB56" s="96"/>
      <c r="AC56" s="96"/>
      <c r="AD56" s="96"/>
      <c r="AE56" s="96"/>
      <c r="AF56" s="96"/>
      <c r="AG56" s="96"/>
      <c r="AH56" s="96"/>
      <c r="AI56" s="96"/>
      <c r="AJ56" s="96"/>
      <c r="AK56" s="9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6"/>
      <c r="Z57" s="96"/>
      <c r="AA57" s="96"/>
      <c r="AB57" s="96"/>
      <c r="AC57" s="96"/>
      <c r="AD57" s="96"/>
      <c r="AE57" s="96"/>
      <c r="AF57" s="96"/>
      <c r="AG57" s="96"/>
      <c r="AH57" s="96"/>
      <c r="AI57" s="96"/>
      <c r="AJ57" s="96"/>
      <c r="AK57" s="9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  <c r="AK62" s="9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75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427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428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427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428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09" t="s">
        <v>95</v>
      </c>
      <c r="B27" s="109"/>
      <c r="C27" s="109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429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430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429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430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09" t="s">
        <v>95</v>
      </c>
      <c r="B54" s="109"/>
      <c r="C54" s="109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431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430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431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430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09" t="s">
        <v>95</v>
      </c>
      <c r="B81" s="109"/>
      <c r="C81" s="109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432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433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432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433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09" t="s">
        <v>95</v>
      </c>
      <c r="B108" s="109"/>
      <c r="C108" s="109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434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435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434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435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09" t="s">
        <v>95</v>
      </c>
      <c r="B135" s="109"/>
      <c r="C135" s="109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436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430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436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430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09" t="s">
        <v>95</v>
      </c>
      <c r="B162" s="109"/>
      <c r="C162" s="109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437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435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437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435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09" t="s">
        <v>95</v>
      </c>
      <c r="B189" s="109"/>
      <c r="C189" s="109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438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435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438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435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09" t="s">
        <v>95</v>
      </c>
      <c r="B216" s="109"/>
      <c r="C216" s="109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439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435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439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435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09" t="s">
        <v>95</v>
      </c>
      <c r="B243" s="109"/>
      <c r="C243" s="109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440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430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440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430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09" t="s">
        <v>95</v>
      </c>
      <c r="B270" s="109"/>
      <c r="C270" s="109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441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442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441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442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09" t="s">
        <v>95</v>
      </c>
      <c r="B297" s="109"/>
      <c r="C297" s="109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443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444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443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444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09" t="s">
        <v>95</v>
      </c>
      <c r="B324" s="109"/>
      <c r="C324" s="109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445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446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445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446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09" t="s">
        <v>95</v>
      </c>
      <c r="B351" s="109"/>
      <c r="C351" s="109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447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435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447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435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09" t="s">
        <v>95</v>
      </c>
      <c r="B378" s="109"/>
      <c r="C378" s="109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448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435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448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435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09" t="s">
        <v>95</v>
      </c>
      <c r="B405" s="109"/>
      <c r="C405" s="109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449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442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449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442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09" t="s">
        <v>95</v>
      </c>
      <c r="B432" s="109"/>
      <c r="C432" s="109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450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435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450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435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09" t="s">
        <v>95</v>
      </c>
      <c r="B459" s="109"/>
      <c r="C459" s="109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451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428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451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428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09" t="s">
        <v>95</v>
      </c>
      <c r="B486" s="109"/>
      <c r="C486" s="109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452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453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452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453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09" t="s">
        <v>95</v>
      </c>
      <c r="B513" s="109"/>
      <c r="C513" s="109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454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455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454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455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09" t="s">
        <v>95</v>
      </c>
      <c r="B540" s="109"/>
      <c r="C540" s="109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456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435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456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435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09" t="s">
        <v>95</v>
      </c>
      <c r="B567" s="109"/>
      <c r="C567" s="109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457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458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457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458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09" t="s">
        <v>95</v>
      </c>
      <c r="B594" s="109"/>
      <c r="C594" s="109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459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430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459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430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09" t="s">
        <v>95</v>
      </c>
      <c r="B621" s="109"/>
      <c r="C621" s="109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460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461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460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461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09" t="s">
        <v>95</v>
      </c>
      <c r="B648" s="109"/>
      <c r="C648" s="109"/>
    </row>
    <row r="649" spans="1:3" ht="10.5" customHeight="1" x14ac:dyDescent="0.25">
      <c r="A649" s="61"/>
      <c r="B649" s="62"/>
      <c r="C649" s="81" t="s">
        <v>104</v>
      </c>
    </row>
    <row r="650" spans="1:3" ht="24.75" x14ac:dyDescent="0.25">
      <c r="A650" s="63"/>
      <c r="B650" s="64" t="s">
        <v>42</v>
      </c>
      <c r="C65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51" spans="1:3" ht="8.25" customHeight="1" x14ac:dyDescent="0.25">
      <c r="A651" s="63"/>
      <c r="B651" s="65"/>
      <c r="C651" s="66" t="s">
        <v>43</v>
      </c>
    </row>
    <row r="652" spans="1:3" ht="14.25" customHeight="1" x14ac:dyDescent="0.25">
      <c r="A652" s="63"/>
      <c r="B652" s="65"/>
      <c r="C652" s="67" t="str">
        <f>"  ИНН "&amp;INN&amp;" КПП "&amp;KPP&amp;"                         "&amp;PersonalAcc</f>
        <v xml:space="preserve">  ИНН 1657032924 КПП 165701001                         03234643927010001100</v>
      </c>
    </row>
    <row r="653" spans="1:3" ht="9.75" customHeight="1" x14ac:dyDescent="0.25">
      <c r="A653" s="63"/>
      <c r="B653" s="65"/>
      <c r="C653" s="68" t="s">
        <v>44</v>
      </c>
    </row>
    <row r="654" spans="1:3" ht="23.25" x14ac:dyDescent="0.25">
      <c r="A654" s="63"/>
      <c r="B654" s="65"/>
      <c r="C65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55" spans="1:3" ht="8.25" customHeight="1" x14ac:dyDescent="0.25">
      <c r="A655" s="63"/>
      <c r="B655" s="65"/>
      <c r="C655" s="66" t="s">
        <v>45</v>
      </c>
    </row>
    <row r="656" spans="1:3" ht="26.85" customHeight="1" x14ac:dyDescent="0.25">
      <c r="A656" s="63"/>
      <c r="B656" s="65"/>
      <c r="C656" s="34" t="s">
        <v>462</v>
      </c>
    </row>
    <row r="657" spans="1:3" ht="9" customHeight="1" x14ac:dyDescent="0.25">
      <c r="A657" s="63"/>
      <c r="B657" s="65"/>
      <c r="C657" s="66" t="s">
        <v>51</v>
      </c>
    </row>
    <row r="658" spans="1:3" x14ac:dyDescent="0.25">
      <c r="A658" s="63"/>
      <c r="B658" s="65"/>
      <c r="C658" s="69" t="s">
        <v>442</v>
      </c>
    </row>
    <row r="659" spans="1:3" ht="9" customHeight="1" x14ac:dyDescent="0.25">
      <c r="A659" s="63"/>
      <c r="B659" s="70"/>
      <c r="C659" s="71" t="s">
        <v>52</v>
      </c>
    </row>
    <row r="660" spans="1:3" x14ac:dyDescent="0.25">
      <c r="A660" s="63"/>
      <c r="B660" s="65"/>
      <c r="C660" s="72" t="s">
        <v>46</v>
      </c>
    </row>
    <row r="661" spans="1:3" x14ac:dyDescent="0.25">
      <c r="A661" s="73"/>
      <c r="B661" s="74"/>
      <c r="C661" s="75" t="s">
        <v>102</v>
      </c>
    </row>
    <row r="662" spans="1:3" ht="10.5" customHeight="1" x14ac:dyDescent="0.25">
      <c r="A662" s="63"/>
      <c r="B662" s="65"/>
      <c r="C662" s="81" t="s">
        <v>105</v>
      </c>
    </row>
    <row r="663" spans="1:3" ht="24.75" x14ac:dyDescent="0.25">
      <c r="A663" s="63"/>
      <c r="B663" s="64" t="s">
        <v>47</v>
      </c>
      <c r="C663" s="33" t="str">
        <f>C650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64" spans="1:3" ht="8.25" customHeight="1" x14ac:dyDescent="0.25">
      <c r="A664" s="63"/>
      <c r="B664" s="65"/>
      <c r="C664" s="66" t="s">
        <v>43</v>
      </c>
    </row>
    <row r="665" spans="1:3" ht="14.25" customHeight="1" x14ac:dyDescent="0.25">
      <c r="A665" s="63"/>
      <c r="B665" s="65"/>
      <c r="C665" s="67" t="str">
        <f>C652</f>
        <v xml:space="preserve">  ИНН 1657032924 КПП 165701001                         03234643927010001100</v>
      </c>
    </row>
    <row r="666" spans="1:3" ht="9.75" customHeight="1" x14ac:dyDescent="0.25">
      <c r="A666" s="63"/>
      <c r="B666" s="65"/>
      <c r="C666" s="68" t="s">
        <v>103</v>
      </c>
    </row>
    <row r="667" spans="1:3" ht="23.25" x14ac:dyDescent="0.25">
      <c r="A667" s="63"/>
      <c r="B667" s="65"/>
      <c r="C667" s="32" t="str">
        <f>C654</f>
        <v>БИК 019205400 (ОТДЕЛЕНИЕ-НБ РЕСПУБЛИКА ТАТАРСТАН БАНКА РОССИИ//УФК по Республике Татарстан г Казань)</v>
      </c>
    </row>
    <row r="668" spans="1:3" ht="8.25" customHeight="1" x14ac:dyDescent="0.25">
      <c r="A668" s="63"/>
      <c r="B668" s="65"/>
      <c r="C668" s="66" t="s">
        <v>48</v>
      </c>
    </row>
    <row r="669" spans="1:3" ht="26.85" customHeight="1" x14ac:dyDescent="0.25">
      <c r="A669" s="63"/>
      <c r="B669" s="65"/>
      <c r="C669" s="60" t="s">
        <v>462</v>
      </c>
    </row>
    <row r="670" spans="1:3" ht="9" customHeight="1" x14ac:dyDescent="0.25">
      <c r="A670" s="63"/>
      <c r="B670" s="65"/>
      <c r="C670" s="76" t="s">
        <v>51</v>
      </c>
    </row>
    <row r="671" spans="1:3" x14ac:dyDescent="0.25">
      <c r="A671" s="63"/>
      <c r="B671" s="77"/>
      <c r="C671" s="69" t="s">
        <v>442</v>
      </c>
    </row>
    <row r="672" spans="1:3" ht="9" customHeight="1" x14ac:dyDescent="0.25">
      <c r="A672" s="63"/>
      <c r="B672" s="77"/>
      <c r="C672" s="78" t="s">
        <v>52</v>
      </c>
    </row>
    <row r="673" spans="1:3" x14ac:dyDescent="0.25">
      <c r="A673" s="63"/>
      <c r="B673" s="77"/>
      <c r="C673" s="72" t="s">
        <v>46</v>
      </c>
    </row>
    <row r="674" spans="1:3" x14ac:dyDescent="0.25">
      <c r="A674" s="73"/>
      <c r="B674" s="79"/>
      <c r="C674" s="75" t="s">
        <v>102</v>
      </c>
    </row>
    <row r="675" spans="1:3" x14ac:dyDescent="0.25">
      <c r="A675" s="109" t="s">
        <v>95</v>
      </c>
      <c r="B675" s="109"/>
      <c r="C675" s="109"/>
    </row>
  </sheetData>
  <mergeCells count="25">
    <mergeCell ref="A675:C675"/>
    <mergeCell ref="A513:C513"/>
    <mergeCell ref="A540:C540"/>
    <mergeCell ref="A567:C567"/>
    <mergeCell ref="A594:C594"/>
    <mergeCell ref="A621:C621"/>
    <mergeCell ref="A648:C648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162:C162"/>
    <mergeCell ref="A27:C27"/>
    <mergeCell ref="A54:C54"/>
    <mergeCell ref="A81:C81"/>
    <mergeCell ref="A108:C108"/>
    <mergeCell ref="A135:C135"/>
  </mergeCells>
  <pageMargins left="0.39370078740157499" right="0.39370078740157499" top="0.196850393700787" bottom="0.196850393700787" header="0" footer="0"/>
  <pageSetup paperSize="9" orientation="portrait" r:id="rId1"/>
  <rowBreaks count="25" manualBreakCount="25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  <brk id="675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0" t="s">
        <v>128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0" t="s">
        <v>129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49"/>
      <c r="B8" s="149"/>
      <c r="C8" s="149"/>
      <c r="D8" s="149"/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  <c r="BE8" s="149"/>
      <c r="BF8" s="149"/>
      <c r="BG8" s="149"/>
      <c r="BH8" s="149"/>
      <c r="BO8" s="46"/>
      <c r="BZ8" s="121"/>
      <c r="CA8" s="122"/>
      <c r="CB8" s="122"/>
      <c r="CC8" s="122"/>
      <c r="CD8" s="122"/>
      <c r="CE8" s="122"/>
      <c r="CF8" s="122"/>
      <c r="CG8" s="122"/>
      <c r="CH8" s="122"/>
      <c r="CI8" s="123"/>
      <c r="CJ8" s="121"/>
      <c r="CK8" s="122"/>
      <c r="CL8" s="122"/>
      <c r="CM8" s="122"/>
      <c r="CN8" s="122"/>
      <c r="CO8" s="122"/>
      <c r="CP8" s="123"/>
      <c r="CQ8" s="121"/>
      <c r="CR8" s="122"/>
      <c r="CS8" s="122"/>
      <c r="CT8" s="122"/>
      <c r="CU8" s="122"/>
      <c r="CV8" s="122"/>
      <c r="CW8" s="122"/>
      <c r="CX8" s="122"/>
      <c r="CY8" s="123"/>
      <c r="CZ8" s="121"/>
      <c r="DA8" s="122"/>
      <c r="DB8" s="122"/>
      <c r="DC8" s="122"/>
      <c r="DD8" s="122"/>
      <c r="DE8" s="122"/>
      <c r="DF8" s="122"/>
      <c r="DG8" s="122"/>
      <c r="DH8" s="123"/>
      <c r="DI8" s="121"/>
      <c r="DJ8" s="122"/>
      <c r="DK8" s="122"/>
      <c r="DL8" s="122"/>
      <c r="DM8" s="122"/>
      <c r="DN8" s="122"/>
      <c r="DO8" s="122"/>
      <c r="DP8" s="123"/>
      <c r="DQ8" s="121"/>
      <c r="DR8" s="122"/>
      <c r="DS8" s="122"/>
      <c r="DT8" s="122"/>
      <c r="DU8" s="122"/>
      <c r="DV8" s="122"/>
      <c r="DW8" s="122"/>
      <c r="DX8" s="123"/>
      <c r="DY8" s="121"/>
      <c r="DZ8" s="122"/>
      <c r="EA8" s="122"/>
      <c r="EB8" s="122"/>
      <c r="EC8" s="122"/>
      <c r="ED8" s="122"/>
      <c r="EE8" s="122"/>
      <c r="EF8" s="122"/>
      <c r="EG8" s="122"/>
      <c r="EH8" s="123"/>
    </row>
    <row r="9" spans="1:167" ht="15" customHeight="1" x14ac:dyDescent="0.2">
      <c r="A9" s="129" t="s">
        <v>143</v>
      </c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7"/>
      <c r="S9" s="127"/>
      <c r="T9" s="127"/>
      <c r="U9" s="127"/>
      <c r="V9" s="127"/>
      <c r="W9" s="127"/>
      <c r="X9" s="127"/>
      <c r="Y9" s="127"/>
      <c r="Z9" s="37" t="s">
        <v>144</v>
      </c>
      <c r="AG9" s="129" t="s">
        <v>145</v>
      </c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7"/>
      <c r="BC9" s="127"/>
      <c r="BD9" s="127"/>
      <c r="BE9" s="127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0" t="s">
        <v>160</v>
      </c>
      <c r="CA10" s="151"/>
      <c r="CB10" s="151"/>
      <c r="CC10" s="151"/>
      <c r="CD10" s="151"/>
      <c r="CE10" s="151"/>
      <c r="CF10" s="151"/>
      <c r="CG10" s="151"/>
      <c r="CH10" s="151"/>
      <c r="CI10" s="152"/>
      <c r="CJ10" s="153" t="s">
        <v>161</v>
      </c>
      <c r="CK10" s="154"/>
      <c r="CL10" s="154"/>
      <c r="CM10" s="154"/>
      <c r="CN10" s="154"/>
      <c r="CO10" s="154"/>
      <c r="CP10" s="155"/>
      <c r="CQ10" s="112"/>
      <c r="CR10" s="113"/>
      <c r="CS10" s="113"/>
      <c r="CT10" s="113"/>
      <c r="CU10" s="113"/>
      <c r="CV10" s="113"/>
      <c r="CW10" s="113"/>
      <c r="CX10" s="113"/>
      <c r="CY10" s="114"/>
      <c r="CZ10" s="112"/>
      <c r="DA10" s="113"/>
      <c r="DB10" s="113"/>
      <c r="DC10" s="113"/>
      <c r="DD10" s="113"/>
      <c r="DE10" s="113"/>
      <c r="DF10" s="113"/>
      <c r="DG10" s="113"/>
      <c r="DH10" s="114"/>
      <c r="DI10" s="112"/>
      <c r="DJ10" s="113"/>
      <c r="DK10" s="113"/>
      <c r="DL10" s="113"/>
      <c r="DM10" s="113"/>
      <c r="DN10" s="113"/>
      <c r="DO10" s="113"/>
      <c r="DP10" s="114"/>
      <c r="DQ10" s="112"/>
      <c r="DR10" s="113"/>
      <c r="DS10" s="113"/>
      <c r="DT10" s="113"/>
      <c r="DU10" s="113"/>
      <c r="DV10" s="113"/>
      <c r="DW10" s="113"/>
      <c r="DX10" s="114"/>
      <c r="DY10" s="112"/>
      <c r="DZ10" s="113"/>
      <c r="EA10" s="113"/>
      <c r="EB10" s="113"/>
      <c r="EC10" s="113"/>
      <c r="ED10" s="113"/>
      <c r="EE10" s="113"/>
      <c r="EF10" s="113"/>
      <c r="EG10" s="113"/>
      <c r="EH10" s="114"/>
    </row>
    <row r="11" spans="1:167" ht="18.75" customHeight="1" x14ac:dyDescent="0.2"/>
    <row r="12" spans="1:167" ht="21.75" customHeight="1" x14ac:dyDescent="0.2">
      <c r="C12" s="111" t="s">
        <v>162</v>
      </c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O16" s="131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32"/>
      <c r="BE16" s="133"/>
      <c r="BF16" s="145"/>
      <c r="BG16" s="146"/>
      <c r="BH16" s="146"/>
      <c r="BI16" s="146"/>
      <c r="BJ16" s="146"/>
      <c r="BK16" s="146"/>
      <c r="BL16" s="146"/>
      <c r="BM16" s="146"/>
      <c r="BN16" s="146"/>
      <c r="BO16" s="146"/>
      <c r="BP16" s="146"/>
      <c r="BQ16" s="146"/>
      <c r="BR16" s="146"/>
      <c r="BS16" s="146"/>
      <c r="BT16" s="146"/>
      <c r="BU16" s="14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7"/>
      <c r="CF16" s="137"/>
      <c r="CG16" s="138"/>
      <c r="CH16" s="138"/>
      <c r="CI16" s="138"/>
      <c r="CJ16" s="138"/>
      <c r="CK16" s="138"/>
      <c r="CL16" s="138"/>
      <c r="CM16" s="138"/>
      <c r="CN16" s="138"/>
      <c r="CO16" s="138"/>
      <c r="CP16" s="138"/>
      <c r="CQ16" s="138"/>
      <c r="CR16" s="138"/>
      <c r="CS16" s="138"/>
      <c r="CT16" s="138"/>
      <c r="CU16" s="138"/>
      <c r="CV16" s="138"/>
      <c r="CW16" s="138"/>
      <c r="CX16" s="138"/>
      <c r="CY16" s="139"/>
      <c r="CZ16" s="131"/>
      <c r="DA16" s="132"/>
      <c r="DB16" s="132"/>
      <c r="DC16" s="132"/>
      <c r="DD16" s="132"/>
      <c r="DE16" s="132"/>
      <c r="DF16" s="132"/>
      <c r="DG16" s="132"/>
      <c r="DH16" s="132"/>
      <c r="DI16" s="132"/>
      <c r="DJ16" s="132"/>
      <c r="DK16" s="132"/>
      <c r="DL16" s="132"/>
      <c r="DM16" s="132"/>
      <c r="DN16" s="132"/>
      <c r="DO16" s="132"/>
      <c r="DP16" s="132"/>
      <c r="DQ16" s="133"/>
      <c r="DR16" s="141"/>
      <c r="DS16" s="142"/>
      <c r="DT16" s="142"/>
      <c r="DU16" s="142"/>
      <c r="DV16" s="142"/>
      <c r="DW16" s="142"/>
      <c r="DX16" s="142"/>
      <c r="DY16" s="142"/>
      <c r="DZ16" s="142"/>
      <c r="EA16" s="142"/>
      <c r="EB16" s="142"/>
      <c r="EC16" s="142"/>
      <c r="ED16" s="142"/>
      <c r="EE16" s="142"/>
      <c r="EF16" s="142"/>
      <c r="EG16" s="142"/>
      <c r="EH16" s="143"/>
    </row>
    <row r="17" spans="3:138" ht="11.1" customHeight="1" x14ac:dyDescent="0.2"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4" t="s">
        <v>142</v>
      </c>
      <c r="BA17" s="144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4"/>
      <c r="BT17" s="144"/>
      <c r="BU17" s="144"/>
      <c r="BV17" s="144"/>
      <c r="BW17" s="144"/>
      <c r="BX17" s="144"/>
      <c r="BY17" s="144"/>
      <c r="BZ17" s="144"/>
      <c r="CA17" s="144"/>
      <c r="CB17" s="144"/>
      <c r="CC17" s="144"/>
      <c r="CD17" s="144"/>
      <c r="CE17" s="140"/>
      <c r="CF17" s="140"/>
      <c r="CG17" s="140"/>
      <c r="CH17" s="140"/>
      <c r="CI17" s="140"/>
      <c r="CJ17" s="140"/>
      <c r="CK17" s="140"/>
      <c r="CL17" s="140"/>
      <c r="CM17" s="140"/>
      <c r="CN17" s="140"/>
      <c r="CO17" s="140"/>
      <c r="CP17" s="140"/>
      <c r="CQ17" s="140"/>
      <c r="CR17" s="140"/>
      <c r="CS17" s="140"/>
      <c r="CT17" s="140"/>
      <c r="CU17" s="140"/>
      <c r="CV17" s="140"/>
      <c r="CW17" s="140"/>
      <c r="CX17" s="140"/>
      <c r="CY17" s="140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O19" s="44"/>
      <c r="AZ19" s="148" t="s">
        <v>147</v>
      </c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35"/>
      <c r="CD19" s="135"/>
      <c r="CE19" s="135"/>
      <c r="CF19" s="135"/>
      <c r="CG19" s="135"/>
      <c r="CH19" s="135"/>
      <c r="CI19" s="135"/>
      <c r="CJ19" s="135"/>
      <c r="CK19" s="135"/>
      <c r="CL19" s="135"/>
      <c r="CM19" s="135"/>
      <c r="CN19" s="135"/>
      <c r="CO19" s="135"/>
      <c r="CP19" s="135"/>
      <c r="CQ19" s="135"/>
      <c r="CR19" s="135"/>
      <c r="CS19" s="135"/>
      <c r="CT19" s="135"/>
      <c r="CU19" s="135"/>
      <c r="CV19" s="135"/>
      <c r="CW19" s="135"/>
      <c r="CX19" s="135"/>
      <c r="CY19" s="135"/>
      <c r="CZ19" s="135"/>
      <c r="DA19" s="135"/>
      <c r="DB19" s="135"/>
      <c r="DC19" s="135"/>
      <c r="DD19" s="135"/>
      <c r="DE19" s="135"/>
      <c r="DF19" s="135"/>
      <c r="DG19" s="135"/>
      <c r="DH19" s="135"/>
      <c r="DI19" s="135"/>
      <c r="DJ19" s="135"/>
      <c r="DK19" s="135"/>
      <c r="DL19" s="135"/>
      <c r="DM19" s="135"/>
      <c r="EF19" s="36"/>
      <c r="EG19" s="36"/>
      <c r="EH19" s="42"/>
    </row>
    <row r="20" spans="3:138" ht="11.1" customHeight="1" x14ac:dyDescent="0.2"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0" t="s">
        <v>149</v>
      </c>
      <c r="BA22" s="130"/>
      <c r="BB22" s="130"/>
      <c r="BC22" s="130"/>
      <c r="BD22" s="130"/>
      <c r="BE22" s="130"/>
      <c r="BF22" s="130"/>
      <c r="BG22" s="130"/>
      <c r="BH22" s="130"/>
      <c r="BI22" s="130"/>
      <c r="BJ22" s="130"/>
      <c r="BK22" s="130"/>
      <c r="BL22" s="130"/>
      <c r="BM22" s="130"/>
      <c r="BN22" s="130"/>
      <c r="BO22" s="130"/>
      <c r="BP22" s="130"/>
      <c r="BQ22" s="130"/>
      <c r="BR22" s="130"/>
      <c r="BS22" s="130"/>
      <c r="BT22" s="130"/>
      <c r="BU22" s="130"/>
      <c r="BV22" s="130"/>
      <c r="BW22" s="130"/>
      <c r="BX22" s="130"/>
      <c r="BY22" s="130"/>
      <c r="BZ22" s="130"/>
      <c r="CA22" s="130"/>
      <c r="CB22" s="130"/>
      <c r="CC22" s="136"/>
      <c r="CD22" s="136"/>
      <c r="CE22" s="136"/>
      <c r="CF22" s="136"/>
      <c r="CG22" s="136"/>
      <c r="CH22" s="136"/>
      <c r="CI22" s="136"/>
      <c r="CJ22" s="136"/>
      <c r="CK22" s="136"/>
      <c r="CL22" s="136"/>
      <c r="CM22" s="136"/>
      <c r="CN22" s="136"/>
      <c r="CO22" s="136"/>
      <c r="CP22" s="136"/>
      <c r="CQ22" s="136"/>
      <c r="CR22" s="136"/>
      <c r="CS22" s="136"/>
      <c r="CT22" s="136"/>
      <c r="CU22" s="136"/>
      <c r="CV22" s="136"/>
      <c r="DA22" s="43" t="s">
        <v>150</v>
      </c>
      <c r="DO22" s="134"/>
      <c r="DP22" s="134"/>
      <c r="DQ22" s="134"/>
      <c r="DR22" s="134"/>
      <c r="DS22" s="134"/>
      <c r="DT22" s="134"/>
      <c r="DU22" s="134"/>
      <c r="DV22" s="134"/>
      <c r="DW22" s="134"/>
      <c r="DX22" s="134"/>
      <c r="DY22" s="134"/>
      <c r="DZ22" s="134"/>
      <c r="EA22" s="134"/>
      <c r="EB22" s="134"/>
      <c r="EC22" s="134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http://purl.org/dc/elements/1.1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2023-02-22T09:04:37Z</cp:lastPrinted>
  <dcterms:created xsi:type="dcterms:W3CDTF">2012-02-27T08:19:11Z</dcterms:created>
  <dcterms:modified xsi:type="dcterms:W3CDTF">2023-04-05T08:05:18Z</dcterms:modified>
</cp:coreProperties>
</file>