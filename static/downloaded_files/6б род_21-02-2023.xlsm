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февраль 2023\"/>
    </mc:Choice>
  </mc:AlternateContent>
  <bookViews>
    <workbookView xWindow="-120" yWindow="-120" windowWidth="21840" windowHeight="13140" activeTab="7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11" i="280" l="1"/>
  <c r="C600" i="280"/>
  <c r="C613" i="280" s="1"/>
  <c r="C598" i="280"/>
  <c r="C596" i="280"/>
  <c r="C609" i="280" s="1"/>
  <c r="C584" i="280"/>
  <c r="C573" i="280"/>
  <c r="C586" i="280" s="1"/>
  <c r="C571" i="280"/>
  <c r="C569" i="280"/>
  <c r="C582" i="280" s="1"/>
  <c r="C557" i="280"/>
  <c r="C546" i="280"/>
  <c r="C559" i="280" s="1"/>
  <c r="C544" i="280"/>
  <c r="C542" i="280"/>
  <c r="C555" i="280" s="1"/>
  <c r="C530" i="280"/>
  <c r="C519" i="280"/>
  <c r="C532" i="280" s="1"/>
  <c r="C517" i="280"/>
  <c r="C515" i="280"/>
  <c r="C528" i="280" s="1"/>
  <c r="C503" i="280"/>
  <c r="C492" i="280"/>
  <c r="C505" i="280" s="1"/>
  <c r="C490" i="280"/>
  <c r="C488" i="280"/>
  <c r="C501" i="280" s="1"/>
  <c r="C476" i="280"/>
  <c r="C465" i="280"/>
  <c r="C478" i="280" s="1"/>
  <c r="C463" i="280"/>
  <c r="C461" i="280"/>
  <c r="C474" i="280" s="1"/>
  <c r="C449" i="280"/>
  <c r="C438" i="280"/>
  <c r="C451" i="280" s="1"/>
  <c r="C436" i="280"/>
  <c r="C434" i="280"/>
  <c r="C447" i="280" s="1"/>
  <c r="C422" i="280"/>
  <c r="C411" i="280"/>
  <c r="C424" i="280" s="1"/>
  <c r="C409" i="280"/>
  <c r="C407" i="280"/>
  <c r="C420" i="280" s="1"/>
  <c r="C395" i="280"/>
  <c r="C384" i="280"/>
  <c r="C397" i="280" s="1"/>
  <c r="C382" i="280"/>
  <c r="C380" i="280"/>
  <c r="C393" i="280" s="1"/>
  <c r="C368" i="280"/>
  <c r="C357" i="280"/>
  <c r="C370" i="280" s="1"/>
  <c r="C355" i="280"/>
  <c r="C353" i="280"/>
  <c r="C366" i="280" s="1"/>
  <c r="C341" i="280"/>
  <c r="C330" i="280"/>
  <c r="C343" i="280" s="1"/>
  <c r="C328" i="280"/>
  <c r="C326" i="280"/>
  <c r="C339" i="280" s="1"/>
  <c r="C314" i="280"/>
  <c r="C303" i="280"/>
  <c r="C316" i="280" s="1"/>
  <c r="C301" i="280"/>
  <c r="C299" i="280"/>
  <c r="C312" i="280" s="1"/>
  <c r="C287" i="280"/>
  <c r="C276" i="280"/>
  <c r="C289" i="280" s="1"/>
  <c r="C274" i="280"/>
  <c r="C272" i="280"/>
  <c r="C285" i="280" s="1"/>
  <c r="C260" i="280"/>
  <c r="C249" i="280"/>
  <c r="C262" i="280" s="1"/>
  <c r="C247" i="280"/>
  <c r="C245" i="280"/>
  <c r="C258" i="280" s="1"/>
  <c r="C233" i="280"/>
  <c r="C222" i="280"/>
  <c r="C235" i="280" s="1"/>
  <c r="C220" i="280"/>
  <c r="C218" i="280"/>
  <c r="C231" i="280" s="1"/>
  <c r="C206" i="280"/>
  <c r="C195" i="280"/>
  <c r="C208" i="280" s="1"/>
  <c r="C193" i="280"/>
  <c r="C191" i="280"/>
  <c r="C204" i="280" s="1"/>
  <c r="C179" i="280"/>
  <c r="C168" i="280"/>
  <c r="C181" i="280" s="1"/>
  <c r="C166" i="280"/>
  <c r="C164" i="280"/>
  <c r="C177" i="280" s="1"/>
  <c r="C152" i="280"/>
  <c r="C141" i="280"/>
  <c r="C154" i="280" s="1"/>
  <c r="C139" i="280"/>
  <c r="C137" i="280"/>
  <c r="C150" i="280" s="1"/>
  <c r="C125" i="280"/>
  <c r="C114" i="280"/>
  <c r="C127" i="280" s="1"/>
  <c r="C112" i="280"/>
  <c r="C110" i="280"/>
  <c r="C123" i="280" s="1"/>
  <c r="C98" i="280"/>
  <c r="C87" i="280"/>
  <c r="C100" i="280" s="1"/>
  <c r="C85" i="280"/>
  <c r="C83" i="280"/>
  <c r="C96" i="280" s="1"/>
  <c r="C71" i="280"/>
  <c r="C60" i="280"/>
  <c r="C73" i="280" s="1"/>
  <c r="C58" i="280"/>
  <c r="C56" i="280"/>
  <c r="C69" i="280" s="1"/>
  <c r="C44" i="280"/>
  <c r="C33" i="280"/>
  <c r="C46" i="280" s="1"/>
  <c r="C31" i="280"/>
  <c r="C29" i="280"/>
  <c r="C42" i="280" s="1"/>
  <c r="C17" i="280"/>
  <c r="C6" i="280"/>
  <c r="C19" i="280" s="1"/>
  <c r="C4" i="280"/>
  <c r="C2" i="280"/>
  <c r="C15" i="280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2" i="268"/>
  <c r="G1306" i="268" l="1"/>
  <c r="G1305" i="268"/>
  <c r="G1304" i="268"/>
  <c r="G1303" i="268"/>
  <c r="G1302" i="268"/>
  <c r="G1301" i="268"/>
  <c r="G1300" i="268"/>
  <c r="G1299" i="268"/>
  <c r="G1298" i="268"/>
  <c r="G1297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<sst xmlns="http://schemas.openxmlformats.org/spreadsheetml/2006/main" count="2542" uniqueCount="481">
  <si>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</si>
  <si>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</si>
  <si>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</si>
  <si>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</si>
  <si>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</si>
  <si>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</si>
  <si>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</si>
  <si>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</si>
  <si>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</si>
  <si>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</si>
  <si>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</si>
  <si>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</si>
  <si>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</si>
  <si>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</si>
  <si>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</si>
  <si>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</si>
  <si>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</si>
  <si>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</si>
  <si>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</si>
  <si>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</si>
  <si>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</si>
  <si>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</si>
  <si>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</si>
  <si>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</si>
  <si>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</si>
  <si>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</si>
  <si>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</si>
  <si>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</si>
  <si>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</si>
  <si>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</si>
  <si>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</si>
  <si>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</si>
  <si>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</si>
  <si>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</si>
  <si>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</si>
  <si>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</si>
  <si>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</si>
  <si>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</si>
  <si>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</si>
  <si>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</si>
  <si>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</si>
  <si>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</si>
  <si>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</si>
  <si>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</si>
  <si>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</si>
  <si>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</si>
  <si>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</si>
  <si>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</si>
  <si>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</si>
  <si>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</si>
  <si>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</si>
  <si>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</si>
  <si>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</si>
  <si>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</si>
  <si>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</si>
  <si>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</si>
  <si>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</si>
  <si>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</si>
  <si>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</si>
  <si>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</si>
  <si>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</si>
  <si>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</si>
  <si>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</si>
  <si>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</si>
  <si>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</si>
  <si>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</si>
  <si>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</si>
  <si>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</si>
  <si>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</si>
  <si>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</si>
  <si>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</si>
  <si>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</si>
  <si>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</si>
  <si>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</si>
  <si>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</si>
  <si>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</si>
  <si>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</si>
  <si>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</si>
  <si>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</si>
  <si>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</si>
  <si>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</si>
  <si>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</si>
  <si>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</si>
  <si>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</si>
  <si>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</si>
  <si>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</si>
  <si>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</si>
  <si>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</si>
  <si>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</si>
  <si>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</si>
  <si>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</si>
  <si>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</si>
  <si>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</si>
  <si>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</si>
  <si>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</si>
  <si>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</si>
  <si>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</si>
  <si>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</si>
  <si>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</si>
  <si>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</si>
  <si>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</si>
  <si>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</si>
  <si>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</si>
  <si>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</si>
  <si>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</si>
  <si>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</si>
  <si>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</si>
  <si>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</si>
  <si>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</si>
  <si>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</si>
  <si>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</si>
  <si>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</si>
  <si>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</si>
  <si>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</si>
  <si>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</si>
  <si>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</si>
  <si>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</si>
  <si>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</si>
  <si>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</si>
  <si>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</si>
  <si>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</si>
  <si>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</si>
  <si>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</si>
  <si>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</si>
  <si>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</si>
  <si>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</si>
  <si>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</si>
  <si>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</si>
  <si>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</si>
  <si>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</si>
  <si>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</si>
  <si>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</si>
  <si>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</si>
  <si>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</si>
  <si>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</si>
  <si>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</si>
  <si>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</si>
  <si>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</si>
  <si>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</si>
  <si>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</si>
  <si>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</si>
  <si>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</si>
  <si>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</si>
  <si>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</si>
  <si>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</si>
  <si>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</si>
  <si>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</si>
  <si>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</si>
  <si>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</si>
  <si>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</si>
  <si>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</si>
  <si>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</si>
  <si>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</si>
  <si>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</si>
  <si>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</si>
  <si>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</si>
  <si>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</si>
  <si>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</si>
  <si>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</si>
  <si>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</si>
  <si>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</si>
  <si>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</si>
  <si>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</si>
  <si>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</si>
  <si>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</si>
  <si>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</si>
  <si>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</si>
  <si>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</si>
  <si>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</si>
  <si>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</si>
  <si>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</si>
  <si>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</si>
  <si>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</si>
  <si>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</si>
  <si>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</si>
  <si>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</si>
  <si>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</si>
  <si>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</si>
  <si>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</si>
  <si>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</si>
  <si>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</si>
  <si>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</si>
  <si>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</si>
  <si>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</si>
  <si>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</si>
  <si>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</si>
  <si>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</si>
  <si>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</si>
  <si>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</si>
  <si>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</si>
  <si>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</si>
  <si>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</si>
  <si>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</si>
  <si>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</si>
  <si>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</si>
  <si>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</si>
  <si>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</si>
  <si>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</si>
  <si>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</si>
  <si>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</si>
  <si>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</si>
  <si>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</si>
  <si>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</si>
  <si>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</si>
  <si>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</si>
  <si>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</si>
  <si>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</si>
  <si>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</si>
  <si>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</si>
  <si>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</si>
  <si>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</si>
  <si>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</si>
  <si>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</si>
  <si>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</si>
  <si>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</si>
  <si>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</si>
  <si>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</si>
  <si>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</si>
  <si>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</si>
  <si>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</si>
  <si>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</si>
  <si>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</si>
  <si>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</si>
  <si>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</si>
  <si>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</si>
  <si>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</si>
  <si>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</si>
  <si>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</si>
  <si>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</si>
  <si>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</si>
  <si>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</si>
  <si>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</si>
  <si>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</si>
  <si>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</si>
  <si>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</si>
  <si>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</si>
  <si>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</si>
  <si>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</si>
  <si>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</si>
  <si>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</si>
  <si>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</si>
  <si>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</si>
  <si>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</si>
  <si>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</si>
  <si>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</si>
  <si>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</si>
  <si>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</si>
  <si>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</si>
  <si>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</si>
  <si>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</si>
  <si>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</si>
  <si>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</si>
  <si>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</si>
  <si>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</si>
  <si>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</si>
  <si>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</si>
  <si>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</si>
  <si>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</si>
  <si>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</si>
  <si>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</si>
  <si>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</si>
  <si>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</si>
  <si>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</si>
  <si>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</si>
  <si>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</si>
  <si>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</si>
  <si>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</si>
  <si>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</si>
  <si>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</si>
  <si>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</si>
  <si>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</si>
  <si>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</si>
  <si>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</si>
  <si>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</si>
  <si>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</si>
  <si>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</si>
  <si>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</si>
  <si>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</si>
  <si>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</si>
  <si>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</si>
  <si>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</si>
  <si>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</si>
  <si>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</si>
  <si>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</si>
  <si>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</si>
  <si>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</si>
  <si>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</si>
  <si>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</si>
  <si>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</si>
  <si>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</si>
  <si>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</si>
  <si>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</si>
  <si>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</si>
  <si>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</si>
  <si>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</si>
  <si>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</si>
  <si>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</si>
  <si>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</si>
  <si>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</si>
  <si>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</si>
  <si>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</si>
  <si>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</si>
  <si>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</si>
  <si>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</si>
  <si>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</si>
  <si>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</si>
  <si>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</si>
  <si>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</si>
  <si>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</si>
  <si>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</si>
  <si>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</si>
  <si>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</si>
  <si>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</si>
  <si>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</si>
  <si>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</si>
  <si>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</si>
  <si>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</si>
  <si>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</si>
  <si>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</si>
  <si>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</si>
  <si>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</si>
  <si>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</si>
  <si>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</si>
  <si>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</si>
  <si>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</si>
  <si>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</si>
  <si>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</si>
  <si>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</si>
  <si>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</si>
  <si>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</si>
  <si>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</si>
  <si>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</si>
  <si>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</si>
  <si>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</si>
  <si>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</si>
  <si>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</si>
  <si>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</si>
  <si>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</si>
  <si>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</si>
  <si>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</si>
  <si>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</si>
  <si>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</si>
  <si>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</si>
  <si>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</si>
  <si>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</si>
  <si>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</si>
  <si>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</si>
  <si>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</si>
  <si>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</si>
  <si>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</si>
  <si>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</si>
  <si>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</si>
  <si>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</si>
  <si>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</si>
  <si>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</si>
  <si>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</si>
  <si>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</si>
  <si>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</si>
  <si>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</si>
  <si>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</si>
  <si>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</si>
  <si>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</si>
  <si>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</si>
  <si>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</si>
  <si>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</si>
  <si>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</si>
  <si>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</si>
  <si>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</si>
  <si>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</si>
  <si>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</si>
  <si>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</si>
  <si>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</si>
  <si>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</si>
  <si>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</si>
  <si>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</si>
  <si>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</si>
  <si>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</si>
  <si>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</si>
  <si>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</si>
  <si>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</si>
  <si>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</si>
  <si>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</si>
  <si>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</si>
  <si>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</si>
  <si>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</si>
  <si>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</si>
  <si>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</si>
  <si>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</si>
  <si>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</si>
  <si>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</si>
  <si>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</si>
  <si>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</si>
  <si>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</si>
  <si>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</si>
  <si>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</si>
  <si>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</si>
  <si>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>000627</t>
  </si>
  <si>
    <t xml:space="preserve">Алтун Эмир Байрамович                             </t>
  </si>
  <si>
    <t xml:space="preserve">6б род              </t>
  </si>
  <si>
    <t>000628</t>
  </si>
  <si>
    <t xml:space="preserve">Аляутдинов Али Ильдарович                         </t>
  </si>
  <si>
    <t>000629</t>
  </si>
  <si>
    <t xml:space="preserve">Ахметов Саид Ильназович                           </t>
  </si>
  <si>
    <t>000630</t>
  </si>
  <si>
    <t xml:space="preserve">Белов Артур Леонидович                            </t>
  </si>
  <si>
    <t>000631</t>
  </si>
  <si>
    <t xml:space="preserve">Валитов Амир Альбертович                          </t>
  </si>
  <si>
    <t>000837</t>
  </si>
  <si>
    <t xml:space="preserve">Измайлов Имран Раисович                           </t>
  </si>
  <si>
    <t>000633</t>
  </si>
  <si>
    <t xml:space="preserve">Картузов Денис Григорьевич                        </t>
  </si>
  <si>
    <t>000634</t>
  </si>
  <si>
    <t xml:space="preserve">Коклин Даниил Вадимович                           </t>
  </si>
  <si>
    <t>000635</t>
  </si>
  <si>
    <t xml:space="preserve">Лутфрахманов Керим Айратович                      </t>
  </si>
  <si>
    <t>000636</t>
  </si>
  <si>
    <t xml:space="preserve">Мирзакаримов Ярамир Шухратович                    </t>
  </si>
  <si>
    <t>000637</t>
  </si>
  <si>
    <t xml:space="preserve">Мифтахов Рашид Ренатович                          </t>
  </si>
  <si>
    <t>000638</t>
  </si>
  <si>
    <t xml:space="preserve">Мухаметов Булат Айратович                         </t>
  </si>
  <si>
    <t>000639</t>
  </si>
  <si>
    <t xml:space="preserve">Наумов Ансар Альбертович                          </t>
  </si>
  <si>
    <t>000640</t>
  </si>
  <si>
    <t xml:space="preserve">Рахимов Адель Айратович                           </t>
  </si>
  <si>
    <t>000641</t>
  </si>
  <si>
    <t xml:space="preserve">Сафаров Карим Ринатович                           </t>
  </si>
  <si>
    <t>000642</t>
  </si>
  <si>
    <t xml:space="preserve">Сафин Камиль Ранисович                            </t>
  </si>
  <si>
    <t>000643</t>
  </si>
  <si>
    <t xml:space="preserve">Файрушин Амиль Айратович                          </t>
  </si>
  <si>
    <t>000645</t>
  </si>
  <si>
    <t xml:space="preserve">Хайруллин Амирхан Булатович                       </t>
  </si>
  <si>
    <t>000646</t>
  </si>
  <si>
    <t xml:space="preserve">Хаматвалеев Амир Азатович                         </t>
  </si>
  <si>
    <t>000648</t>
  </si>
  <si>
    <t xml:space="preserve">Шайхутдинов Рамазан Эдуардович                    </t>
  </si>
  <si>
    <t>000649</t>
  </si>
  <si>
    <t xml:space="preserve">Юсубов Ибрахим Робилевич                          </t>
  </si>
  <si>
    <t>000650</t>
  </si>
  <si>
    <t xml:space="preserve">Яхин Ринат Рустемович                             </t>
  </si>
  <si>
    <t>февр</t>
  </si>
  <si>
    <t>000946</t>
  </si>
  <si>
    <t xml:space="preserve">Каюмов Самат Рустемович                           </t>
  </si>
  <si>
    <t>6б род февр</t>
  </si>
  <si>
    <t>ЛС: 000627; ФИО обучающегося: Алтун Эмир Байрамович                             ; Назначение: 6б род февр; КБК: 82100000000000003131; ОКТМО: 92701000</t>
  </si>
  <si>
    <t>Сумма: 2540 руб. 00 коп.</t>
  </si>
  <si>
    <t>ЛС: 000628; ФИО обучающегося: Аляутдинов Али Ильдарович                         ; Назначение: 6б род февр; КБК: 82100000000000003131; ОКТМО: 92701000</t>
  </si>
  <si>
    <t>Сумма: 5468 руб. 54 коп.</t>
  </si>
  <si>
    <t>ЛС: 000629; ФИО обучающегося: Ахметов Саид Ильназович                           ; Назначение: 6б род февр; КБК: 82100000000000003131; ОКТМО: 92701000</t>
  </si>
  <si>
    <t>Сумма: 2838 руб. 00 коп.</t>
  </si>
  <si>
    <t>ЛС: 000630; ФИО обучающегося: Белов Артур Леонидович                            ; Назначение: 6б род февр; КБК: 82100000000000003131; ОКТМО: 92701000</t>
  </si>
  <si>
    <t>Сумма: 5364 руб. 81 коп.</t>
  </si>
  <si>
    <t>ЛС: 000631; ФИО обучающегося: Валитов Амир Альбертович                          ; Назначение: 6б род февр; КБК: 82100000000000003131; ОКТМО: 92701000</t>
  </si>
  <si>
    <t>ЛС: 000837; ФИО обучающегося: Измайлов Имран Раисович                           ; Назначение: 6б род февр; КБК: 82100000000000003131; ОКТМО: 92701000</t>
  </si>
  <si>
    <t>ЛС: 000633; ФИО обучающегося: Картузов Денис Григорьевич                        ; Назначение: 6б род февр; КБК: 82100000000000003131; ОКТМО: 92701000</t>
  </si>
  <si>
    <t>ЛС: 000946; ФИО обучающегося: Каюмов Самат Рустемович                           ; Назначение: 6б род февр; КБК: 82100000000000003131; ОКТМО: 92701000</t>
  </si>
  <si>
    <t>Сумма: 3321 руб. 54 коп.</t>
  </si>
  <si>
    <t>ЛС: 000634; ФИО обучающегося: Коклин Даниил Вадимович                           ; Назначение: 6б род февр; КБК: 82100000000000003131; ОКТМО: 92701000</t>
  </si>
  <si>
    <t>Сумма: 7590 руб. 17 коп.</t>
  </si>
  <si>
    <t>ЛС: 000635; ФИО обучающегося: Лутфрахманов Керим Айратович                      ; Назначение: 6б род февр; КБК: 82100000000000003131; ОКТМО: 92701000</t>
  </si>
  <si>
    <t>Сумма: 7451 руб. 86 коп.</t>
  </si>
  <si>
    <t>ЛС: 000636; ФИО обучающегося: Мирзакаримов Ярамир Шухратович                    ; Назначение: 6б род февр; КБК: 82100000000000003131; ОКТМО: 92701000</t>
  </si>
  <si>
    <t>ЛС: 000637; ФИО обучающегося: Мифтахов Рашид Ренатович                          ; Назначение: 6б род февр; КБК: 82100000000000003131; ОКТМО: 92701000</t>
  </si>
  <si>
    <t>ЛС: 000638; ФИО обучающегося: Мухаметов Булат Айратович                         ; Назначение: 6б род февр; КБК: 82100000000000003131; ОКТМО: 92701000</t>
  </si>
  <si>
    <t>Сумма: 2539 руб. 78 коп.</t>
  </si>
  <si>
    <t>ЛС: 000639; ФИО обучающегося: Наумов Ансар Альбертович                          ; Назначение: 6б род февр; КБК: 82100000000000003131; ОКТМО: 92701000</t>
  </si>
  <si>
    <t>ЛС: 000640; ФИО обучающегося: Рахимов Адель Айратович                           ; Назначение: 6б род февр; КБК: 82100000000000003131; ОКТМО: 92701000</t>
  </si>
  <si>
    <t>Сумма: 7027 руб. 27 коп.</t>
  </si>
  <si>
    <t>ЛС: 000641; ФИО обучающегося: Сафаров Карим Ринатович                           ; Назначение: 6б род февр; КБК: 82100000000000003131; ОКТМО: 92701000</t>
  </si>
  <si>
    <t>Сумма: 6169 руб. 88 коп.</t>
  </si>
  <si>
    <t>ЛС: 000642; ФИО обучающегося: Сафин Камиль Ранисович                            ; Назначение: 6б род февр; КБК: 82100000000000003131; ОКТМО: 92701000</t>
  </si>
  <si>
    <t>Сумма: 9243 руб. 16 коп.</t>
  </si>
  <si>
    <t>ЛС: 000643; ФИО обучающегося: Файрушин Амиль Айратович                          ; Назначение: 6б род февр; КБК: 82100000000000003131; ОКТМО: 92701000</t>
  </si>
  <si>
    <t>ЛС: 000645; ФИО обучающегося: Хайруллин Амирхан Булатович                       ; Назначение: 6б род февр; КБК: 82100000000000003131; ОКТМО: 92701000</t>
  </si>
  <si>
    <t>Сумма: 7429 руб. 29 коп.</t>
  </si>
  <si>
    <t>ЛС: 000646; ФИО обучающегося: Хаматвалеев Амир Азатович                         ; Назначение: 6б род февр; КБК: 82100000000000003131; ОКТМО: 92701000</t>
  </si>
  <si>
    <t>Сумма: 5157 руб. 35 коп.</t>
  </si>
  <si>
    <t>ЛС: 000648; ФИО обучающегося: Шайхутдинов Рамазан Эдуардович                    ; Назначение: 6б род февр; КБК: 82100000000000003131; ОКТМО: 92701000</t>
  </si>
  <si>
    <t>ЛС: 000649; ФИО обучающегося: Юсубов Ибрахим Робилевич                          ; Назначение: 6б род февр; КБК: 82100000000000003131; ОКТМО: 92701000</t>
  </si>
  <si>
    <t>ЛС: 000650; ФИО обучающегося: Яхин Ринат Рустемович                             ; Назначение: 6б род февр; КБК: 82100000000000003131; ОКТМО: 92701000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</si>
</sst>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9" headerRowDxfId="23" dataDxfId="0" totalsRowDxfId="20" headerRowBorderDxfId="22" tableBorderDxfId="21">
  <autoFilter ref="A6:H29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6"/>
  <sheetViews>
    <sheetView workbookViewId="0">
      <selection activeCell="F2" sqref="F2:M24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396</v>
      </c>
      <c r="B2" s="92" t="s">
        <v>397</v>
      </c>
      <c r="C2" s="92" t="s">
        <v>398</v>
      </c>
      <c r="D2" s="92" t="s">
        <v>441</v>
      </c>
      <c r="E2" s="93">
        <v>2540</v>
      </c>
      <c r="F2" s="98" t="str">
        <f>TRIM(A2)</f>
        <v>000627</v>
      </c>
      <c r="G2" s="31" t="str">
        <f t="shared" ref="G2:G44" si="0">B2</f>
        <v xml:space="preserve">Алтун Эмир Байрамович                             </v>
      </c>
      <c r="H2" s="31" t="str">
        <f>CONCATENATE(TRIM(C2)," ",D2)</f>
        <v>6б род февр</v>
      </c>
      <c r="I2" s="94" t="s">
        <v>387</v>
      </c>
      <c r="J2" s="31">
        <v>92701000</v>
      </c>
      <c r="M2" s="31">
        <f t="shared" ref="M2:M61" si="1">E2</f>
        <v>2540</v>
      </c>
    </row>
    <row r="3" spans="1:13" x14ac:dyDescent="0.25">
      <c r="A3" s="92" t="s">
        <v>399</v>
      </c>
      <c r="B3" s="92" t="s">
        <v>400</v>
      </c>
      <c r="C3" s="92" t="s">
        <v>398</v>
      </c>
      <c r="D3" s="92" t="s">
        <v>441</v>
      </c>
      <c r="E3" s="93">
        <v>5468.54</v>
      </c>
      <c r="F3" s="98" t="str">
        <f t="shared" ref="F3:F64" si="2">TRIM(A3)</f>
        <v>000628</v>
      </c>
      <c r="G3" s="31" t="str">
        <f t="shared" si="0"/>
        <v xml:space="preserve">Аляутдинов Али Ильдарович                         </v>
      </c>
      <c r="H3" s="31" t="str">
        <f t="shared" ref="H3:H64" si="3">CONCATENATE(TRIM(C3)," ",D3)</f>
        <v>6б род февр</v>
      </c>
      <c r="I3" s="94" t="s">
        <v>387</v>
      </c>
      <c r="J3" s="31">
        <v>92701000</v>
      </c>
      <c r="M3" s="31">
        <f t="shared" si="1"/>
        <v>5468.54</v>
      </c>
    </row>
    <row r="4" spans="1:13" x14ac:dyDescent="0.25">
      <c r="A4" s="92" t="s">
        <v>401</v>
      </c>
      <c r="B4" s="92" t="s">
        <v>402</v>
      </c>
      <c r="C4" s="92" t="s">
        <v>398</v>
      </c>
      <c r="D4" s="92" t="s">
        <v>441</v>
      </c>
      <c r="E4" s="93">
        <v>2838</v>
      </c>
      <c r="F4" s="98" t="str">
        <f t="shared" si="2"/>
        <v>000629</v>
      </c>
      <c r="G4" s="31" t="str">
        <f t="shared" si="0"/>
        <v xml:space="preserve">Ахметов Саид Ильназович                           </v>
      </c>
      <c r="H4" s="31" t="str">
        <f t="shared" si="3"/>
        <v>6б род февр</v>
      </c>
      <c r="I4" s="94" t="s">
        <v>387</v>
      </c>
      <c r="J4" s="31">
        <v>92701000</v>
      </c>
      <c r="M4" s="31">
        <f t="shared" si="1"/>
        <v>2838</v>
      </c>
    </row>
    <row r="5" spans="1:13" x14ac:dyDescent="0.25">
      <c r="A5" s="92" t="s">
        <v>403</v>
      </c>
      <c r="B5" s="92" t="s">
        <v>404</v>
      </c>
      <c r="C5" s="92" t="s">
        <v>398</v>
      </c>
      <c r="D5" s="92" t="s">
        <v>441</v>
      </c>
      <c r="E5" s="93">
        <v>5364.81</v>
      </c>
      <c r="F5" s="98" t="str">
        <f t="shared" si="2"/>
        <v>000630</v>
      </c>
      <c r="G5" s="31" t="str">
        <f t="shared" si="0"/>
        <v xml:space="preserve">Белов Артур Леонидович                            </v>
      </c>
      <c r="H5" s="31" t="str">
        <f t="shared" si="3"/>
        <v>6б род февр</v>
      </c>
      <c r="I5" s="94" t="s">
        <v>387</v>
      </c>
      <c r="J5" s="31">
        <v>92701000</v>
      </c>
      <c r="M5" s="31">
        <f t="shared" si="1"/>
        <v>5364.81</v>
      </c>
    </row>
    <row r="6" spans="1:13" x14ac:dyDescent="0.25">
      <c r="A6" s="92" t="s">
        <v>405</v>
      </c>
      <c r="B6" s="92" t="s">
        <v>406</v>
      </c>
      <c r="C6" s="92" t="s">
        <v>398</v>
      </c>
      <c r="D6" s="92" t="s">
        <v>441</v>
      </c>
      <c r="E6" s="93">
        <v>2540</v>
      </c>
      <c r="F6" s="98" t="str">
        <f t="shared" si="2"/>
        <v>000631</v>
      </c>
      <c r="G6" s="31" t="str">
        <f t="shared" si="0"/>
        <v xml:space="preserve">Валитов Амир Альбертович                          </v>
      </c>
      <c r="H6" s="31" t="str">
        <f t="shared" si="3"/>
        <v>6б род февр</v>
      </c>
      <c r="I6" s="94" t="s">
        <v>387</v>
      </c>
      <c r="J6" s="31">
        <v>92701000</v>
      </c>
      <c r="M6" s="31">
        <f t="shared" si="1"/>
        <v>2540</v>
      </c>
    </row>
    <row r="7" spans="1:13" x14ac:dyDescent="0.25">
      <c r="A7" s="92" t="s">
        <v>407</v>
      </c>
      <c r="B7" s="92" t="s">
        <v>408</v>
      </c>
      <c r="C7" s="92" t="s">
        <v>398</v>
      </c>
      <c r="D7" s="92" t="s">
        <v>441</v>
      </c>
      <c r="E7" s="93">
        <v>2838</v>
      </c>
      <c r="F7" s="98" t="str">
        <f t="shared" si="2"/>
        <v>000837</v>
      </c>
      <c r="G7" s="31" t="str">
        <f t="shared" si="0"/>
        <v xml:space="preserve">Измайлов Имран Раисович                           </v>
      </c>
      <c r="H7" s="31" t="str">
        <f t="shared" si="3"/>
        <v>6б род февр</v>
      </c>
      <c r="I7" s="94" t="s">
        <v>387</v>
      </c>
      <c r="J7" s="31">
        <v>92701000</v>
      </c>
      <c r="M7" s="31">
        <f t="shared" si="1"/>
        <v>2838</v>
      </c>
    </row>
    <row r="8" spans="1:13" x14ac:dyDescent="0.25">
      <c r="A8" s="92" t="s">
        <v>409</v>
      </c>
      <c r="B8" s="92" t="s">
        <v>410</v>
      </c>
      <c r="C8" s="92" t="s">
        <v>398</v>
      </c>
      <c r="D8" s="92" t="s">
        <v>441</v>
      </c>
      <c r="E8" s="93">
        <v>2540</v>
      </c>
      <c r="F8" s="98" t="str">
        <f t="shared" si="2"/>
        <v>000633</v>
      </c>
      <c r="G8" s="31" t="str">
        <f t="shared" si="0"/>
        <v xml:space="preserve">Картузов Денис Григорьевич                        </v>
      </c>
      <c r="H8" s="31" t="str">
        <f t="shared" si="3"/>
        <v>6б род февр</v>
      </c>
      <c r="I8" s="94" t="s">
        <v>387</v>
      </c>
      <c r="J8" s="31">
        <v>92701000</v>
      </c>
      <c r="M8" s="31">
        <f t="shared" si="1"/>
        <v>2540</v>
      </c>
    </row>
    <row r="9" spans="1:13" x14ac:dyDescent="0.25">
      <c r="A9" s="92" t="s">
        <v>442</v>
      </c>
      <c r="B9" s="92" t="s">
        <v>443</v>
      </c>
      <c r="C9" s="92" t="s">
        <v>398</v>
      </c>
      <c r="D9" s="92" t="s">
        <v>441</v>
      </c>
      <c r="E9" s="93">
        <v>3321.54</v>
      </c>
      <c r="F9" s="98" t="str">
        <f t="shared" si="2"/>
        <v>000946</v>
      </c>
      <c r="G9" s="31" t="str">
        <f t="shared" si="0"/>
        <v xml:space="preserve">Каюмов Самат Рустемович                           </v>
      </c>
      <c r="H9" s="31" t="str">
        <f t="shared" si="3"/>
        <v>6б род февр</v>
      </c>
      <c r="I9" s="94" t="s">
        <v>387</v>
      </c>
      <c r="J9" s="31">
        <v>92701000</v>
      </c>
      <c r="M9" s="31">
        <f t="shared" si="1"/>
        <v>3321.54</v>
      </c>
    </row>
    <row r="10" spans="1:13" x14ac:dyDescent="0.25">
      <c r="A10" s="92" t="s">
        <v>411</v>
      </c>
      <c r="B10" s="92" t="s">
        <v>412</v>
      </c>
      <c r="C10" s="92" t="s">
        <v>398</v>
      </c>
      <c r="D10" s="92" t="s">
        <v>441</v>
      </c>
      <c r="E10" s="93">
        <v>7590.17</v>
      </c>
      <c r="F10" s="98" t="str">
        <f t="shared" si="2"/>
        <v>000634</v>
      </c>
      <c r="G10" s="31" t="str">
        <f t="shared" si="0"/>
        <v xml:space="preserve">Коклин Даниил Вадимович                           </v>
      </c>
      <c r="H10" s="31" t="str">
        <f t="shared" si="3"/>
        <v>6б род февр</v>
      </c>
      <c r="I10" s="94" t="s">
        <v>387</v>
      </c>
      <c r="J10" s="31">
        <v>92701000</v>
      </c>
      <c r="M10" s="31">
        <f t="shared" si="1"/>
        <v>7590.17</v>
      </c>
    </row>
    <row r="11" spans="1:13" x14ac:dyDescent="0.25">
      <c r="A11" s="92" t="s">
        <v>413</v>
      </c>
      <c r="B11" s="92" t="s">
        <v>414</v>
      </c>
      <c r="C11" s="92" t="s">
        <v>398</v>
      </c>
      <c r="D11" s="92" t="s">
        <v>441</v>
      </c>
      <c r="E11" s="93">
        <v>7451.86</v>
      </c>
      <c r="F11" s="98" t="str">
        <f t="shared" si="2"/>
        <v>000635</v>
      </c>
      <c r="G11" s="31" t="str">
        <f t="shared" si="0"/>
        <v xml:space="preserve">Лутфрахманов Керим Айратович                      </v>
      </c>
      <c r="H11" s="31" t="str">
        <f t="shared" si="3"/>
        <v>6б род февр</v>
      </c>
      <c r="I11" s="94" t="s">
        <v>387</v>
      </c>
      <c r="J11" s="31">
        <v>92701000</v>
      </c>
      <c r="M11" s="31">
        <f t="shared" si="1"/>
        <v>7451.86</v>
      </c>
    </row>
    <row r="12" spans="1:13" x14ac:dyDescent="0.25">
      <c r="A12" s="92" t="s">
        <v>415</v>
      </c>
      <c r="B12" s="92" t="s">
        <v>416</v>
      </c>
      <c r="C12" s="92" t="s">
        <v>398</v>
      </c>
      <c r="D12" s="92" t="s">
        <v>441</v>
      </c>
      <c r="E12" s="93">
        <v>2540</v>
      </c>
      <c r="F12" s="98" t="str">
        <f t="shared" si="2"/>
        <v>000636</v>
      </c>
      <c r="G12" s="31" t="str">
        <f t="shared" si="0"/>
        <v xml:space="preserve">Мирзакаримов Ярамир Шухратович                    </v>
      </c>
      <c r="H12" s="31" t="str">
        <f t="shared" si="3"/>
        <v>6б род февр</v>
      </c>
      <c r="I12" s="94" t="s">
        <v>387</v>
      </c>
      <c r="J12" s="31">
        <v>92701000</v>
      </c>
      <c r="M12" s="31">
        <f t="shared" si="1"/>
        <v>2540</v>
      </c>
    </row>
    <row r="13" spans="1:13" x14ac:dyDescent="0.25">
      <c r="A13" s="92" t="s">
        <v>417</v>
      </c>
      <c r="B13" s="92" t="s">
        <v>418</v>
      </c>
      <c r="C13" s="92" t="s">
        <v>398</v>
      </c>
      <c r="D13" s="92" t="s">
        <v>441</v>
      </c>
      <c r="E13" s="93">
        <v>2540</v>
      </c>
      <c r="F13" s="98" t="str">
        <f t="shared" si="2"/>
        <v>000637</v>
      </c>
      <c r="G13" s="31" t="str">
        <f t="shared" si="0"/>
        <v xml:space="preserve">Мифтахов Рашид Ренатович                          </v>
      </c>
      <c r="H13" s="31" t="str">
        <f t="shared" si="3"/>
        <v>6б род февр</v>
      </c>
      <c r="I13" s="94" t="s">
        <v>387</v>
      </c>
      <c r="J13" s="31">
        <v>92701000</v>
      </c>
      <c r="M13" s="31">
        <f t="shared" si="1"/>
        <v>2540</v>
      </c>
    </row>
    <row r="14" spans="1:13" x14ac:dyDescent="0.25">
      <c r="A14" s="92" t="s">
        <v>419</v>
      </c>
      <c r="B14" s="92" t="s">
        <v>420</v>
      </c>
      <c r="C14" s="92" t="s">
        <v>398</v>
      </c>
      <c r="D14" s="92" t="s">
        <v>441</v>
      </c>
      <c r="E14" s="93">
        <v>2539.7800000000002</v>
      </c>
      <c r="F14" s="98" t="str">
        <f t="shared" si="2"/>
        <v>000638</v>
      </c>
      <c r="G14" s="31" t="str">
        <f t="shared" si="0"/>
        <v xml:space="preserve">Мухаметов Булат Айратович                         </v>
      </c>
      <c r="H14" s="31" t="str">
        <f t="shared" si="3"/>
        <v>6б род февр</v>
      </c>
      <c r="I14" s="94" t="s">
        <v>387</v>
      </c>
      <c r="J14" s="31">
        <v>92701000</v>
      </c>
      <c r="M14" s="31">
        <f t="shared" si="1"/>
        <v>2539.7800000000002</v>
      </c>
    </row>
    <row r="15" spans="1:13" x14ac:dyDescent="0.25">
      <c r="A15" s="92" t="s">
        <v>421</v>
      </c>
      <c r="B15" s="92" t="s">
        <v>422</v>
      </c>
      <c r="C15" s="92" t="s">
        <v>398</v>
      </c>
      <c r="D15" s="92" t="s">
        <v>441</v>
      </c>
      <c r="E15" s="93">
        <v>2838</v>
      </c>
      <c r="F15" s="98" t="str">
        <f t="shared" si="2"/>
        <v>000639</v>
      </c>
      <c r="G15" s="31" t="str">
        <f t="shared" si="0"/>
        <v xml:space="preserve">Наумов Ансар Альбертович                          </v>
      </c>
      <c r="H15" s="31" t="str">
        <f t="shared" si="3"/>
        <v>6б род февр</v>
      </c>
      <c r="I15" s="94" t="s">
        <v>387</v>
      </c>
      <c r="J15" s="31">
        <v>92701000</v>
      </c>
      <c r="M15" s="31">
        <f t="shared" si="1"/>
        <v>2838</v>
      </c>
    </row>
    <row r="16" spans="1:13" x14ac:dyDescent="0.25">
      <c r="A16" s="92" t="s">
        <v>423</v>
      </c>
      <c r="B16" s="92" t="s">
        <v>424</v>
      </c>
      <c r="C16" s="92" t="s">
        <v>398</v>
      </c>
      <c r="D16" s="92" t="s">
        <v>441</v>
      </c>
      <c r="E16" s="93">
        <v>7027.27</v>
      </c>
      <c r="F16" s="98" t="str">
        <f t="shared" si="2"/>
        <v>000640</v>
      </c>
      <c r="G16" s="31" t="str">
        <f t="shared" si="0"/>
        <v xml:space="preserve">Рахимов Адель Айратович                           </v>
      </c>
      <c r="H16" s="31" t="str">
        <f t="shared" si="3"/>
        <v>6б род февр</v>
      </c>
      <c r="I16" s="94" t="s">
        <v>387</v>
      </c>
      <c r="J16" s="31">
        <v>92701000</v>
      </c>
      <c r="M16" s="31">
        <f t="shared" si="1"/>
        <v>7027.27</v>
      </c>
    </row>
    <row r="17" spans="1:13" x14ac:dyDescent="0.25">
      <c r="A17" s="92" t="s">
        <v>425</v>
      </c>
      <c r="B17" s="92" t="s">
        <v>426</v>
      </c>
      <c r="C17" s="92" t="s">
        <v>398</v>
      </c>
      <c r="D17" s="92" t="s">
        <v>441</v>
      </c>
      <c r="E17" s="93">
        <v>6169.88</v>
      </c>
      <c r="F17" s="98" t="str">
        <f t="shared" si="2"/>
        <v>000641</v>
      </c>
      <c r="G17" s="31" t="str">
        <f t="shared" si="0"/>
        <v xml:space="preserve">Сафаров Карим Ринатович                           </v>
      </c>
      <c r="H17" s="31" t="str">
        <f t="shared" si="3"/>
        <v>6б род февр</v>
      </c>
      <c r="I17" s="94" t="s">
        <v>387</v>
      </c>
      <c r="J17" s="31">
        <v>92701000</v>
      </c>
      <c r="M17" s="31">
        <f t="shared" si="1"/>
        <v>6169.88</v>
      </c>
    </row>
    <row r="18" spans="1:13" x14ac:dyDescent="0.25">
      <c r="A18" s="92" t="s">
        <v>427</v>
      </c>
      <c r="B18" s="92" t="s">
        <v>428</v>
      </c>
      <c r="C18" s="92" t="s">
        <v>398</v>
      </c>
      <c r="D18" s="92" t="s">
        <v>441</v>
      </c>
      <c r="E18" s="93">
        <v>9243.16</v>
      </c>
      <c r="F18" s="98" t="str">
        <f t="shared" si="2"/>
        <v>000642</v>
      </c>
      <c r="G18" s="31" t="str">
        <f t="shared" si="0"/>
        <v xml:space="preserve">Сафин Камиль Ранисович                            </v>
      </c>
      <c r="H18" s="31" t="str">
        <f t="shared" si="3"/>
        <v>6б род февр</v>
      </c>
      <c r="I18" s="94" t="s">
        <v>387</v>
      </c>
      <c r="J18" s="31">
        <v>92701000</v>
      </c>
      <c r="M18" s="31">
        <f t="shared" si="1"/>
        <v>9243.16</v>
      </c>
    </row>
    <row r="19" spans="1:13" x14ac:dyDescent="0.25">
      <c r="A19" s="92" t="s">
        <v>429</v>
      </c>
      <c r="B19" s="92" t="s">
        <v>430</v>
      </c>
      <c r="C19" s="92" t="s">
        <v>398</v>
      </c>
      <c r="D19" s="92" t="s">
        <v>441</v>
      </c>
      <c r="E19" s="93">
        <v>2540</v>
      </c>
      <c r="F19" s="98" t="str">
        <f t="shared" si="2"/>
        <v>000643</v>
      </c>
      <c r="G19" s="31" t="str">
        <f t="shared" si="0"/>
        <v xml:space="preserve">Файрушин Амиль Айратович                          </v>
      </c>
      <c r="H19" s="31" t="str">
        <f t="shared" si="3"/>
        <v>6б род февр</v>
      </c>
      <c r="I19" s="94" t="s">
        <v>387</v>
      </c>
      <c r="J19" s="31">
        <v>92701000</v>
      </c>
      <c r="M19" s="31">
        <f t="shared" si="1"/>
        <v>2540</v>
      </c>
    </row>
    <row r="20" spans="1:13" x14ac:dyDescent="0.25">
      <c r="A20" s="92" t="s">
        <v>431</v>
      </c>
      <c r="B20" s="92" t="s">
        <v>432</v>
      </c>
      <c r="C20" s="92" t="s">
        <v>398</v>
      </c>
      <c r="D20" s="92" t="s">
        <v>441</v>
      </c>
      <c r="E20" s="93">
        <v>7429.29</v>
      </c>
      <c r="F20" s="98" t="str">
        <f t="shared" si="2"/>
        <v>000645</v>
      </c>
      <c r="G20" s="31" t="str">
        <f t="shared" si="0"/>
        <v xml:space="preserve">Хайруллин Амирхан Булатович                       </v>
      </c>
      <c r="H20" s="31" t="str">
        <f t="shared" si="3"/>
        <v>6б род февр</v>
      </c>
      <c r="I20" s="94" t="s">
        <v>387</v>
      </c>
      <c r="J20" s="31">
        <v>92701000</v>
      </c>
      <c r="M20" s="31">
        <f t="shared" si="1"/>
        <v>7429.29</v>
      </c>
    </row>
    <row r="21" spans="1:13" x14ac:dyDescent="0.25">
      <c r="A21" s="92" t="s">
        <v>433</v>
      </c>
      <c r="B21" s="92" t="s">
        <v>434</v>
      </c>
      <c r="C21" s="92" t="s">
        <v>398</v>
      </c>
      <c r="D21" s="92" t="s">
        <v>441</v>
      </c>
      <c r="E21" s="93">
        <v>5157.3500000000004</v>
      </c>
      <c r="F21" s="98" t="str">
        <f t="shared" si="2"/>
        <v>000646</v>
      </c>
      <c r="G21" s="31" t="str">
        <f t="shared" si="0"/>
        <v xml:space="preserve">Хаматвалеев Амир Азатович                         </v>
      </c>
      <c r="H21" s="31" t="str">
        <f t="shared" si="3"/>
        <v>6б род февр</v>
      </c>
      <c r="I21" s="94" t="s">
        <v>387</v>
      </c>
      <c r="J21" s="31">
        <v>92701000</v>
      </c>
      <c r="M21" s="31">
        <f t="shared" si="1"/>
        <v>5157.3500000000004</v>
      </c>
    </row>
    <row r="22" spans="1:13" x14ac:dyDescent="0.25">
      <c r="A22" s="92" t="s">
        <v>435</v>
      </c>
      <c r="B22" s="92" t="s">
        <v>436</v>
      </c>
      <c r="C22" s="92" t="s">
        <v>398</v>
      </c>
      <c r="D22" s="92" t="s">
        <v>441</v>
      </c>
      <c r="E22" s="93">
        <v>2838</v>
      </c>
      <c r="F22" s="98" t="str">
        <f t="shared" si="2"/>
        <v>000648</v>
      </c>
      <c r="G22" s="31" t="str">
        <f t="shared" si="0"/>
        <v xml:space="preserve">Шайхутдинов Рамазан Эдуардович                    </v>
      </c>
      <c r="H22" s="31" t="str">
        <f t="shared" si="3"/>
        <v>6б род февр</v>
      </c>
      <c r="I22" s="94" t="s">
        <v>387</v>
      </c>
      <c r="J22" s="31">
        <v>92701000</v>
      </c>
      <c r="M22" s="31">
        <f t="shared" si="1"/>
        <v>2838</v>
      </c>
    </row>
    <row r="23" spans="1:13" x14ac:dyDescent="0.25">
      <c r="A23" s="92" t="s">
        <v>437</v>
      </c>
      <c r="B23" s="92" t="s">
        <v>438</v>
      </c>
      <c r="C23" s="92" t="s">
        <v>398</v>
      </c>
      <c r="D23" s="92" t="s">
        <v>441</v>
      </c>
      <c r="E23" s="93">
        <v>2838</v>
      </c>
      <c r="F23" s="98" t="str">
        <f t="shared" si="2"/>
        <v>000649</v>
      </c>
      <c r="G23" s="31" t="str">
        <f t="shared" si="0"/>
        <v xml:space="preserve">Юсубов Ибрахим Робилевич                          </v>
      </c>
      <c r="H23" s="31" t="str">
        <f t="shared" si="3"/>
        <v>6б род февр</v>
      </c>
      <c r="I23" s="94" t="s">
        <v>387</v>
      </c>
      <c r="J23" s="31">
        <v>92701000</v>
      </c>
      <c r="M23" s="31">
        <f t="shared" si="1"/>
        <v>2838</v>
      </c>
    </row>
    <row r="24" spans="1:13" x14ac:dyDescent="0.25">
      <c r="A24" s="92" t="s">
        <v>439</v>
      </c>
      <c r="B24" s="92" t="s">
        <v>440</v>
      </c>
      <c r="C24" s="92" t="s">
        <v>398</v>
      </c>
      <c r="D24" s="92" t="s">
        <v>441</v>
      </c>
      <c r="E24" s="93">
        <v>2838</v>
      </c>
      <c r="F24" s="98" t="str">
        <f t="shared" si="2"/>
        <v>000650</v>
      </c>
      <c r="G24" s="31" t="str">
        <f t="shared" si="0"/>
        <v xml:space="preserve">Яхин Ринат Рустемович                             </v>
      </c>
      <c r="H24" s="31" t="str">
        <f t="shared" si="3"/>
        <v>6б род февр</v>
      </c>
      <c r="I24" s="94" t="s">
        <v>387</v>
      </c>
      <c r="J24" s="31">
        <v>92701000</v>
      </c>
      <c r="M24" s="31">
        <f t="shared" si="1"/>
        <v>2838</v>
      </c>
    </row>
    <row r="25" spans="1:13" x14ac:dyDescent="0.25">
      <c r="F25" s="98" t="str">
        <f t="shared" si="2"/>
        <v/>
      </c>
      <c r="G25" s="31">
        <f t="shared" si="0"/>
        <v>0</v>
      </c>
      <c r="H25" s="31" t="str">
        <f t="shared" si="3"/>
        <v xml:space="preserve"> </v>
      </c>
      <c r="I25" s="94" t="s">
        <v>387</v>
      </c>
      <c r="J25" s="31">
        <v>92701000</v>
      </c>
      <c r="M25" s="31">
        <f t="shared" si="1"/>
        <v>0</v>
      </c>
    </row>
    <row r="26" spans="1:13" x14ac:dyDescent="0.25">
      <c r="F26" s="98" t="str">
        <f t="shared" si="2"/>
        <v/>
      </c>
      <c r="G26" s="31">
        <f t="shared" si="0"/>
        <v>0</v>
      </c>
      <c r="H26" s="31" t="str">
        <f t="shared" si="3"/>
        <v xml:space="preserve"> </v>
      </c>
      <c r="I26" s="94" t="s">
        <v>387</v>
      </c>
      <c r="J26" s="31">
        <v>92701000</v>
      </c>
      <c r="M26" s="31">
        <f t="shared" si="1"/>
        <v>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387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387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387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ref="G45:G108" si="4">B45</f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4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si="4"/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ref="M62:M125" si="5">E62</f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5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si="5"/>
        <v>0</v>
      </c>
    </row>
    <row r="65" spans="6:13" x14ac:dyDescent="0.25">
      <c r="F65" s="98" t="str">
        <f t="shared" ref="F65:F128" si="6">TRIM(A65)</f>
        <v/>
      </c>
      <c r="G65" s="31">
        <f t="shared" si="4"/>
        <v>0</v>
      </c>
      <c r="H65" s="31" t="str">
        <f t="shared" ref="H65:H128" si="7">CONCATENATE(TRIM(C65)," ",D65)</f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ref="G109:G172" si="8">B109</f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8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si="8"/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ref="M126:M189" si="9">E126</f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9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si="9"/>
        <v>0</v>
      </c>
    </row>
    <row r="129" spans="6:13" x14ac:dyDescent="0.25">
      <c r="F129" s="98" t="str">
        <f t="shared" ref="F129:F192" si="10">TRIM(A129)</f>
        <v/>
      </c>
      <c r="G129" s="31">
        <f t="shared" si="8"/>
        <v>0</v>
      </c>
      <c r="H129" s="31" t="str">
        <f t="shared" ref="H129:H192" si="11">CONCATENATE(TRIM(C129)," ",D129)</f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ref="G173:G236" si="12">B173</f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12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si="12"/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ref="M190:M253" si="13">E190</f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13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si="13"/>
        <v>0</v>
      </c>
    </row>
    <row r="193" spans="6:13" x14ac:dyDescent="0.25">
      <c r="F193" s="98" t="str">
        <f t="shared" ref="F193:F256" si="14">TRIM(A193)</f>
        <v/>
      </c>
      <c r="G193" s="31">
        <f t="shared" si="12"/>
        <v>0</v>
      </c>
      <c r="H193" s="31" t="str">
        <f t="shared" ref="H193:H256" si="15">CONCATENATE(TRIM(C193)," ",D193)</f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ref="G237:G300" si="16">B237</f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6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si="16"/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ref="M254:M317" si="17">E254</f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7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si="17"/>
        <v>0</v>
      </c>
    </row>
    <row r="257" spans="6:13" x14ac:dyDescent="0.25">
      <c r="F257" s="98" t="str">
        <f t="shared" ref="F257:F320" si="18">TRIM(A257)</f>
        <v/>
      </c>
      <c r="G257" s="31">
        <f t="shared" si="16"/>
        <v>0</v>
      </c>
      <c r="H257" s="31" t="str">
        <f t="shared" ref="H257:H320" si="19">CONCATENATE(TRIM(C257)," ",D257)</f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ref="G301:G364" si="20">B301</f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20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si="20"/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ref="M318:M381" si="21">E318</f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21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si="21"/>
        <v>0</v>
      </c>
    </row>
    <row r="321" spans="6:13" x14ac:dyDescent="0.25">
      <c r="F321" s="98" t="str">
        <f t="shared" ref="F321:F384" si="22">TRIM(A321)</f>
        <v/>
      </c>
      <c r="G321" s="31">
        <f t="shared" si="20"/>
        <v>0</v>
      </c>
      <c r="H321" s="31" t="str">
        <f t="shared" ref="H321:H384" si="23">CONCATENATE(TRIM(C321)," ",D321)</f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ref="G365:G428" si="24">B365</f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4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si="24"/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ref="M382:M445" si="25">E382</f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5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si="25"/>
        <v>0</v>
      </c>
    </row>
    <row r="385" spans="6:13" x14ac:dyDescent="0.25">
      <c r="F385" s="98" t="str">
        <f t="shared" ref="F385:F448" si="26">TRIM(A385)</f>
        <v/>
      </c>
      <c r="G385" s="31">
        <f t="shared" si="24"/>
        <v>0</v>
      </c>
      <c r="H385" s="31" t="str">
        <f t="shared" ref="H385:H448" si="27">CONCATENATE(TRIM(C385)," ",D385)</f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ref="G429:G492" si="28">B429</f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8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si="28"/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ref="M446:M509" si="29">E446</f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9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si="29"/>
        <v>0</v>
      </c>
    </row>
    <row r="449" spans="6:13" x14ac:dyDescent="0.25">
      <c r="F449" s="98" t="str">
        <f t="shared" ref="F449:F512" si="30">TRIM(A449)</f>
        <v/>
      </c>
      <c r="G449" s="31">
        <f t="shared" si="28"/>
        <v>0</v>
      </c>
      <c r="H449" s="31" t="str">
        <f t="shared" ref="H449:H512" si="31">CONCATENATE(TRIM(C449)," ",D449)</f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ref="G493:G556" si="32">B493</f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32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si="32"/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ref="M510:M573" si="33">E510</f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33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si="33"/>
        <v>0</v>
      </c>
    </row>
    <row r="513" spans="6:13" x14ac:dyDescent="0.25">
      <c r="F513" s="98" t="str">
        <f t="shared" ref="F513:F576" si="34">TRIM(A513)</f>
        <v/>
      </c>
      <c r="G513" s="31">
        <f t="shared" si="32"/>
        <v>0</v>
      </c>
      <c r="H513" s="31" t="str">
        <f t="shared" ref="H513:H576" si="35">CONCATENATE(TRIM(C513)," ",D513)</f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ref="G557:G620" si="36">B557</f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6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si="36"/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ref="M574:M637" si="37">E574</f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7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si="37"/>
        <v>0</v>
      </c>
    </row>
    <row r="577" spans="6:13" x14ac:dyDescent="0.25">
      <c r="F577" s="98" t="str">
        <f t="shared" ref="F577:F640" si="38">TRIM(A577)</f>
        <v/>
      </c>
      <c r="G577" s="31">
        <f t="shared" si="36"/>
        <v>0</v>
      </c>
      <c r="H577" s="31" t="str">
        <f t="shared" ref="H577:H640" si="39">CONCATENATE(TRIM(C577)," ",D577)</f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ref="G621:G684" si="40">B621</f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40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si="40"/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ref="M638:M701" si="41">E638</f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41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si="41"/>
        <v>0</v>
      </c>
    </row>
    <row r="641" spans="6:13" x14ac:dyDescent="0.25">
      <c r="F641" s="98" t="str">
        <f t="shared" ref="F641:F704" si="42">TRIM(A641)</f>
        <v/>
      </c>
      <c r="G641" s="31">
        <f t="shared" si="40"/>
        <v>0</v>
      </c>
      <c r="H641" s="31" t="str">
        <f t="shared" ref="H641:H704" si="43">CONCATENATE(TRIM(C641)," ",D641)</f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ref="G685:G748" si="44">B685</f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4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si="44"/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ref="M702:M765" si="45">E702</f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5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si="45"/>
        <v>0</v>
      </c>
    </row>
    <row r="705" spans="6:13" x14ac:dyDescent="0.25">
      <c r="F705" s="98" t="str">
        <f t="shared" ref="F705:F768" si="46">TRIM(A705)</f>
        <v/>
      </c>
      <c r="G705" s="31">
        <f t="shared" si="44"/>
        <v>0</v>
      </c>
      <c r="H705" s="31" t="str">
        <f t="shared" ref="H705:H768" si="47">CONCATENATE(TRIM(C705)," ",D705)</f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ref="G749:G812" si="48">B749</f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8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si="48"/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ref="M766:M829" si="49">E766</f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9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si="49"/>
        <v>0</v>
      </c>
    </row>
    <row r="769" spans="6:13" x14ac:dyDescent="0.25">
      <c r="F769" s="98" t="str">
        <f t="shared" ref="F769:F832" si="50">TRIM(A769)</f>
        <v/>
      </c>
      <c r="G769" s="31">
        <f t="shared" si="48"/>
        <v>0</v>
      </c>
      <c r="H769" s="31" t="str">
        <f t="shared" ref="H769:H832" si="51">CONCATENATE(TRIM(C769)," ",D769)</f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ref="G813:G876" si="52">B813</f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52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si="52"/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ref="M830:M893" si="53">E830</f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53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si="53"/>
        <v>0</v>
      </c>
    </row>
    <row r="833" spans="6:13" x14ac:dyDescent="0.25">
      <c r="F833" s="98" t="str">
        <f t="shared" ref="F833:F896" si="54">TRIM(A833)</f>
        <v/>
      </c>
      <c r="G833" s="31">
        <f t="shared" si="52"/>
        <v>0</v>
      </c>
      <c r="H833" s="31" t="str">
        <f t="shared" ref="H833:H896" si="55">CONCATENATE(TRIM(C833)," ",D833)</f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ref="G877:G940" si="56">B877</f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6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si="56"/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ref="M894:M957" si="57">E894</f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7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si="57"/>
        <v>0</v>
      </c>
    </row>
    <row r="897" spans="6:13" x14ac:dyDescent="0.25">
      <c r="F897" s="98" t="str">
        <f t="shared" ref="F897:F960" si="58">TRIM(A897)</f>
        <v/>
      </c>
      <c r="G897" s="31">
        <f t="shared" si="56"/>
        <v>0</v>
      </c>
      <c r="H897" s="31" t="str">
        <f t="shared" ref="H897:H960" si="59">CONCATENATE(TRIM(C897)," ",D897)</f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ref="G941:G1004" si="60">B941</f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60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si="60"/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ref="M958:M1021" si="61">E958</f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61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si="61"/>
        <v>0</v>
      </c>
    </row>
    <row r="961" spans="6:13" x14ac:dyDescent="0.25">
      <c r="F961" s="98" t="str">
        <f t="shared" ref="F961:F1024" si="62">TRIM(A961)</f>
        <v/>
      </c>
      <c r="G961" s="31">
        <f t="shared" si="60"/>
        <v>0</v>
      </c>
      <c r="H961" s="31" t="str">
        <f t="shared" ref="H961:H1024" si="63">CONCATENATE(TRIM(C961)," ",D961)</f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ref="G1005:G1068" si="64">B1005</f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4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si="64"/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ref="M1022:M1085" si="65">E1022</f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5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si="65"/>
        <v>0</v>
      </c>
    </row>
    <row r="1025" spans="6:13" x14ac:dyDescent="0.25">
      <c r="F1025" s="98" t="str">
        <f t="shared" ref="F1025:F1088" si="66">TRIM(A1025)</f>
        <v/>
      </c>
      <c r="G1025" s="31">
        <f t="shared" si="64"/>
        <v>0</v>
      </c>
      <c r="H1025" s="31" t="str">
        <f t="shared" ref="H1025:H1088" si="67">CONCATENATE(TRIM(C1025)," ",D1025)</f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ref="G1069:G1132" si="68">B1069</f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8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si="68"/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ref="M1086:M1149" si="69">E1086</f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9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si="69"/>
        <v>0</v>
      </c>
    </row>
    <row r="1089" spans="6:13" x14ac:dyDescent="0.25">
      <c r="F1089" s="98" t="str">
        <f t="shared" ref="F1089:F1152" si="70">TRIM(A1089)</f>
        <v/>
      </c>
      <c r="G1089" s="31">
        <f t="shared" si="68"/>
        <v>0</v>
      </c>
      <c r="H1089" s="31" t="str">
        <f t="shared" ref="H1089:H1152" si="71">CONCATENATE(TRIM(C1089)," ",D1089)</f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ref="G1133:G1196" si="72">B1133</f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72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si="72"/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ref="M1150:M1213" si="73">E1150</f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73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si="73"/>
        <v>0</v>
      </c>
    </row>
    <row r="1153" spans="6:13" x14ac:dyDescent="0.25">
      <c r="F1153" s="98" t="str">
        <f t="shared" ref="F1153:F1216" si="74">TRIM(A1153)</f>
        <v/>
      </c>
      <c r="G1153" s="31">
        <f t="shared" si="72"/>
        <v>0</v>
      </c>
      <c r="H1153" s="31" t="str">
        <f t="shared" ref="H1153:H1216" si="75">CONCATENATE(TRIM(C1153)," ",D1153)</f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ref="G1197:G1260" si="76">B1197</f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6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si="76"/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ref="M1214:M1277" si="77">E1214</f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7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si="77"/>
        <v>0</v>
      </c>
    </row>
    <row r="1217" spans="6:13" x14ac:dyDescent="0.25">
      <c r="F1217" s="98" t="str">
        <f t="shared" ref="F1217:F1280" si="78">TRIM(A1217)</f>
        <v/>
      </c>
      <c r="G1217" s="31">
        <f t="shared" si="76"/>
        <v>0</v>
      </c>
      <c r="H1217" s="31" t="str">
        <f t="shared" ref="H1217:H1280" si="79">CONCATENATE(TRIM(C1217)," ",D1217)</f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ref="G1261:G1295" si="80">B1261</f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80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si="80"/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ref="M1278:M1295" si="81">E1278</f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81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si="81"/>
        <v>0</v>
      </c>
    </row>
    <row r="1281" spans="6:13" x14ac:dyDescent="0.25">
      <c r="F1281" s="98" t="str">
        <f t="shared" ref="F1281:F1295" si="82">TRIM(A1281)</f>
        <v/>
      </c>
      <c r="G1281" s="31">
        <f t="shared" si="80"/>
        <v>0</v>
      </c>
      <c r="H1281" s="31" t="str">
        <f t="shared" ref="H1281:H1306" si="83">CONCATENATE(TRIM(C1281)," ",D1281)</f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82"/>
        <v/>
      </c>
      <c r="G1282" s="31">
        <f t="shared" si="80"/>
        <v>0</v>
      </c>
      <c r="H1282" s="31" t="str">
        <f t="shared" si="83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si="82"/>
        <v/>
      </c>
      <c r="G1283" s="31">
        <f t="shared" si="80"/>
        <v>0</v>
      </c>
      <c r="H1283" s="31" t="str">
        <f t="shared" si="83"/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G1296" s="31">
        <f t="shared" ref="G1296:G1306" si="84">B1296</f>
        <v>0</v>
      </c>
      <c r="H1296" s="31" t="str">
        <f t="shared" si="83"/>
        <v xml:space="preserve"> </v>
      </c>
      <c r="I1296" s="94" t="s">
        <v>387</v>
      </c>
      <c r="J1296" s="31">
        <v>92701000</v>
      </c>
    </row>
    <row r="1297" spans="7:10" x14ac:dyDescent="0.25">
      <c r="G1297" s="31">
        <f t="shared" si="84"/>
        <v>0</v>
      </c>
      <c r="H1297" s="31" t="str">
        <f t="shared" si="83"/>
        <v xml:space="preserve"> </v>
      </c>
      <c r="I1297" s="94" t="s">
        <v>387</v>
      </c>
      <c r="J1297" s="31">
        <v>92701000</v>
      </c>
    </row>
    <row r="1298" spans="7:10" x14ac:dyDescent="0.25">
      <c r="G1298" s="31">
        <f t="shared" si="84"/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7:10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7:10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7:10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7:10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7:10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7:10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7:10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7:10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9"/>
  <sheetViews>
    <sheetView workbookViewId="0">
      <pane ySplit="6" topLeftCell="A7" activePane="bottomLeft" state="frozen"/>
      <selection activeCell="A2" sqref="A2"/>
      <selection pane="bottomLeft" activeCell="A7" sqref="A7:H29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1657032924_03234643927010001100__21.02.2023.TXT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99031.650000000009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23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396</v>
      </c>
      <c r="B7" s="84" t="s">
        <v>397</v>
      </c>
      <c r="C7" s="84" t="s">
        <v>444</v>
      </c>
      <c r="D7" s="84" t="s">
        <v>387</v>
      </c>
      <c r="E7" s="87">
        <v>92701000</v>
      </c>
      <c r="F7" s="84"/>
      <c r="G7" s="84"/>
      <c r="H7" s="86">
        <v>2540</v>
      </c>
    </row>
    <row r="8" spans="1:8" x14ac:dyDescent="0.25">
      <c r="A8" s="95" t="s">
        <v>399</v>
      </c>
      <c r="B8" s="95" t="s">
        <v>400</v>
      </c>
      <c r="C8" s="95" t="s">
        <v>444</v>
      </c>
      <c r="D8" s="95" t="s">
        <v>387</v>
      </c>
      <c r="E8" s="95">
        <v>92701000</v>
      </c>
      <c r="F8" s="95"/>
      <c r="G8" s="95"/>
      <c r="H8" s="96">
        <v>5468.54</v>
      </c>
    </row>
    <row r="9" spans="1:8" x14ac:dyDescent="0.25">
      <c r="A9" s="95" t="s">
        <v>401</v>
      </c>
      <c r="B9" s="95" t="s">
        <v>402</v>
      </c>
      <c r="C9" s="95" t="s">
        <v>444</v>
      </c>
      <c r="D9" s="95" t="s">
        <v>387</v>
      </c>
      <c r="E9" s="95">
        <v>92701000</v>
      </c>
      <c r="F9" s="95"/>
      <c r="G9" s="95"/>
      <c r="H9" s="96">
        <v>2838</v>
      </c>
    </row>
    <row r="10" spans="1:8" x14ac:dyDescent="0.25">
      <c r="A10" s="95" t="s">
        <v>403</v>
      </c>
      <c r="B10" s="95" t="s">
        <v>404</v>
      </c>
      <c r="C10" s="95" t="s">
        <v>444</v>
      </c>
      <c r="D10" s="95" t="s">
        <v>387</v>
      </c>
      <c r="E10" s="95">
        <v>92701000</v>
      </c>
      <c r="F10" s="95"/>
      <c r="G10" s="95"/>
      <c r="H10" s="96">
        <v>5364.81</v>
      </c>
    </row>
    <row r="11" spans="1:8" x14ac:dyDescent="0.25">
      <c r="A11" s="95" t="s">
        <v>405</v>
      </c>
      <c r="B11" s="95" t="s">
        <v>406</v>
      </c>
      <c r="C11" s="95" t="s">
        <v>444</v>
      </c>
      <c r="D11" s="95" t="s">
        <v>387</v>
      </c>
      <c r="E11" s="95">
        <v>92701000</v>
      </c>
      <c r="F11" s="95"/>
      <c r="G11" s="95"/>
      <c r="H11" s="96">
        <v>2540</v>
      </c>
    </row>
    <row r="12" spans="1:8" x14ac:dyDescent="0.25">
      <c r="A12" s="95" t="s">
        <v>407</v>
      </c>
      <c r="B12" s="95" t="s">
        <v>408</v>
      </c>
      <c r="C12" s="95" t="s">
        <v>444</v>
      </c>
      <c r="D12" s="95" t="s">
        <v>387</v>
      </c>
      <c r="E12" s="95">
        <v>92701000</v>
      </c>
      <c r="F12" s="95"/>
      <c r="G12" s="95"/>
      <c r="H12" s="96">
        <v>2838</v>
      </c>
    </row>
    <row r="13" spans="1:8" x14ac:dyDescent="0.25">
      <c r="A13" s="95" t="s">
        <v>409</v>
      </c>
      <c r="B13" s="95" t="s">
        <v>410</v>
      </c>
      <c r="C13" s="95" t="s">
        <v>444</v>
      </c>
      <c r="D13" s="95" t="s">
        <v>387</v>
      </c>
      <c r="E13" s="95">
        <v>92701000</v>
      </c>
      <c r="F13" s="95"/>
      <c r="G13" s="95"/>
      <c r="H13" s="96">
        <v>2540</v>
      </c>
    </row>
    <row r="14" spans="1:8" x14ac:dyDescent="0.25">
      <c r="A14" s="95" t="s">
        <v>442</v>
      </c>
      <c r="B14" s="95" t="s">
        <v>443</v>
      </c>
      <c r="C14" s="95" t="s">
        <v>444</v>
      </c>
      <c r="D14" s="95" t="s">
        <v>387</v>
      </c>
      <c r="E14" s="95">
        <v>92701000</v>
      </c>
      <c r="F14" s="95"/>
      <c r="G14" s="95"/>
      <c r="H14" s="96">
        <v>3321.54</v>
      </c>
    </row>
    <row r="15" spans="1:8" x14ac:dyDescent="0.25">
      <c r="A15" s="95" t="s">
        <v>411</v>
      </c>
      <c r="B15" s="95" t="s">
        <v>412</v>
      </c>
      <c r="C15" s="95" t="s">
        <v>444</v>
      </c>
      <c r="D15" s="95" t="s">
        <v>387</v>
      </c>
      <c r="E15" s="95">
        <v>92701000</v>
      </c>
      <c r="F15" s="95"/>
      <c r="G15" s="95"/>
      <c r="H15" s="96">
        <v>7590.17</v>
      </c>
    </row>
    <row r="16" spans="1:8" x14ac:dyDescent="0.25">
      <c r="A16" s="95" t="s">
        <v>413</v>
      </c>
      <c r="B16" s="95" t="s">
        <v>414</v>
      </c>
      <c r="C16" s="95" t="s">
        <v>444</v>
      </c>
      <c r="D16" s="95" t="s">
        <v>387</v>
      </c>
      <c r="E16" s="95">
        <v>92701000</v>
      </c>
      <c r="F16" s="95"/>
      <c r="G16" s="95"/>
      <c r="H16" s="96">
        <v>7451.86</v>
      </c>
    </row>
    <row r="17" spans="1:8" x14ac:dyDescent="0.25">
      <c r="A17" s="95" t="s">
        <v>415</v>
      </c>
      <c r="B17" s="95" t="s">
        <v>416</v>
      </c>
      <c r="C17" s="95" t="s">
        <v>444</v>
      </c>
      <c r="D17" s="95" t="s">
        <v>387</v>
      </c>
      <c r="E17" s="95">
        <v>92701000</v>
      </c>
      <c r="F17" s="95"/>
      <c r="G17" s="95"/>
      <c r="H17" s="96">
        <v>2540</v>
      </c>
    </row>
    <row r="18" spans="1:8" x14ac:dyDescent="0.25">
      <c r="A18" s="95" t="s">
        <v>417</v>
      </c>
      <c r="B18" s="95" t="s">
        <v>418</v>
      </c>
      <c r="C18" s="95" t="s">
        <v>444</v>
      </c>
      <c r="D18" s="95" t="s">
        <v>387</v>
      </c>
      <c r="E18" s="95">
        <v>92701000</v>
      </c>
      <c r="F18" s="95"/>
      <c r="G18" s="95"/>
      <c r="H18" s="96">
        <v>2540</v>
      </c>
    </row>
    <row r="19" spans="1:8" x14ac:dyDescent="0.25">
      <c r="A19" s="95" t="s">
        <v>419</v>
      </c>
      <c r="B19" s="95" t="s">
        <v>420</v>
      </c>
      <c r="C19" s="95" t="s">
        <v>444</v>
      </c>
      <c r="D19" s="95" t="s">
        <v>387</v>
      </c>
      <c r="E19" s="95">
        <v>92701000</v>
      </c>
      <c r="F19" s="95"/>
      <c r="G19" s="95"/>
      <c r="H19" s="96">
        <v>2539.7800000000002</v>
      </c>
    </row>
    <row r="20" spans="1:8" x14ac:dyDescent="0.25">
      <c r="A20" s="95" t="s">
        <v>421</v>
      </c>
      <c r="B20" s="95" t="s">
        <v>422</v>
      </c>
      <c r="C20" s="95" t="s">
        <v>444</v>
      </c>
      <c r="D20" s="95" t="s">
        <v>387</v>
      </c>
      <c r="E20" s="95">
        <v>92701000</v>
      </c>
      <c r="F20" s="95"/>
      <c r="G20" s="95"/>
      <c r="H20" s="96">
        <v>2838</v>
      </c>
    </row>
    <row r="21" spans="1:8" x14ac:dyDescent="0.25">
      <c r="A21" s="95" t="s">
        <v>423</v>
      </c>
      <c r="B21" s="95" t="s">
        <v>424</v>
      </c>
      <c r="C21" s="95" t="s">
        <v>444</v>
      </c>
      <c r="D21" s="95" t="s">
        <v>387</v>
      </c>
      <c r="E21" s="95">
        <v>92701000</v>
      </c>
      <c r="F21" s="95"/>
      <c r="G21" s="95"/>
      <c r="H21" s="96">
        <v>7027.27</v>
      </c>
    </row>
    <row r="22" spans="1:8" x14ac:dyDescent="0.25">
      <c r="A22" s="95" t="s">
        <v>425</v>
      </c>
      <c r="B22" s="95" t="s">
        <v>426</v>
      </c>
      <c r="C22" s="95" t="s">
        <v>444</v>
      </c>
      <c r="D22" s="95" t="s">
        <v>387</v>
      </c>
      <c r="E22" s="95">
        <v>92701000</v>
      </c>
      <c r="F22" s="95"/>
      <c r="G22" s="95"/>
      <c r="H22" s="96">
        <v>6169.88</v>
      </c>
    </row>
    <row r="23" spans="1:8" x14ac:dyDescent="0.25">
      <c r="A23" s="95" t="s">
        <v>427</v>
      </c>
      <c r="B23" s="95" t="s">
        <v>428</v>
      </c>
      <c r="C23" s="95" t="s">
        <v>444</v>
      </c>
      <c r="D23" s="95" t="s">
        <v>387</v>
      </c>
      <c r="E23" s="95">
        <v>92701000</v>
      </c>
      <c r="F23" s="95"/>
      <c r="G23" s="95"/>
      <c r="H23" s="96">
        <v>9243.16</v>
      </c>
    </row>
    <row r="24" spans="1:8" x14ac:dyDescent="0.25">
      <c r="A24" s="95" t="s">
        <v>429</v>
      </c>
      <c r="B24" s="95" t="s">
        <v>430</v>
      </c>
      <c r="C24" s="95" t="s">
        <v>444</v>
      </c>
      <c r="D24" s="95" t="s">
        <v>387</v>
      </c>
      <c r="E24" s="95">
        <v>92701000</v>
      </c>
      <c r="F24" s="95"/>
      <c r="G24" s="95"/>
      <c r="H24" s="96">
        <v>2540</v>
      </c>
    </row>
    <row r="25" spans="1:8" x14ac:dyDescent="0.25">
      <c r="A25" s="95" t="s">
        <v>431</v>
      </c>
      <c r="B25" s="95" t="s">
        <v>432</v>
      </c>
      <c r="C25" s="95" t="s">
        <v>444</v>
      </c>
      <c r="D25" s="95" t="s">
        <v>387</v>
      </c>
      <c r="E25" s="95">
        <v>92701000</v>
      </c>
      <c r="F25" s="95"/>
      <c r="G25" s="95"/>
      <c r="H25" s="96">
        <v>7429.29</v>
      </c>
    </row>
    <row r="26" spans="1:8" x14ac:dyDescent="0.25">
      <c r="A26" s="95" t="s">
        <v>433</v>
      </c>
      <c r="B26" s="95" t="s">
        <v>434</v>
      </c>
      <c r="C26" s="95" t="s">
        <v>444</v>
      </c>
      <c r="D26" s="95" t="s">
        <v>387</v>
      </c>
      <c r="E26" s="95">
        <v>92701000</v>
      </c>
      <c r="F26" s="95"/>
      <c r="G26" s="95"/>
      <c r="H26" s="96">
        <v>5157.3500000000004</v>
      </c>
    </row>
    <row r="27" spans="1:8" x14ac:dyDescent="0.25">
      <c r="A27" s="95" t="s">
        <v>435</v>
      </c>
      <c r="B27" s="95" t="s">
        <v>436</v>
      </c>
      <c r="C27" s="95" t="s">
        <v>444</v>
      </c>
      <c r="D27" s="95" t="s">
        <v>387</v>
      </c>
      <c r="E27" s="95">
        <v>92701000</v>
      </c>
      <c r="F27" s="95"/>
      <c r="G27" s="95"/>
      <c r="H27" s="96">
        <v>2838</v>
      </c>
    </row>
    <row r="28" spans="1:8" x14ac:dyDescent="0.25">
      <c r="A28" s="95" t="s">
        <v>437</v>
      </c>
      <c r="B28" s="95" t="s">
        <v>438</v>
      </c>
      <c r="C28" s="95" t="s">
        <v>444</v>
      </c>
      <c r="D28" s="95" t="s">
        <v>387</v>
      </c>
      <c r="E28" s="95">
        <v>92701000</v>
      </c>
      <c r="F28" s="95"/>
      <c r="G28" s="95"/>
      <c r="H28" s="96">
        <v>2838</v>
      </c>
    </row>
    <row r="29" spans="1:8" x14ac:dyDescent="0.25">
      <c r="A29" s="95" t="s">
        <v>439</v>
      </c>
      <c r="B29" s="95" t="s">
        <v>440</v>
      </c>
      <c r="C29" s="95" t="s">
        <v>444</v>
      </c>
      <c r="D29" s="95" t="s">
        <v>387</v>
      </c>
      <c r="E29" s="95">
        <v>92701000</v>
      </c>
      <c r="F29" s="95"/>
      <c r="G29" s="95"/>
      <c r="H29" s="96">
        <v>2838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9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9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9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9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9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21"/>
  <sheetViews>
    <sheetView tabSelected="1"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445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446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445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446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447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448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447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448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449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450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449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450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451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452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451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452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453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446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453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446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454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450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454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450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455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446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455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446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456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457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456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457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458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459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458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459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460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461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460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461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462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446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462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446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463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446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463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446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464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465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464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465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466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450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466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450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467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468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467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468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469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470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469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470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471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472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471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472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473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446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473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446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474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475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474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475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476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477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476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477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478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450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478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450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479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450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479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450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480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450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480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450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</sheetData>
  <mergeCells count="23">
    <mergeCell ref="A513:C513"/>
    <mergeCell ref="A540:C540"/>
    <mergeCell ref="A567:C567"/>
    <mergeCell ref="A594:C594"/>
    <mergeCell ref="A621:C621"/>
    <mergeCell ref="A351:C351"/>
    <mergeCell ref="A378:C378"/>
    <mergeCell ref="A405:C405"/>
    <mergeCell ref="A432:C432"/>
    <mergeCell ref="A459:C459"/>
    <mergeCell ref="A486:C486"/>
    <mergeCell ref="A189:C189"/>
    <mergeCell ref="A216:C216"/>
    <mergeCell ref="A243:C243"/>
    <mergeCell ref="A270:C270"/>
    <mergeCell ref="A297:C297"/>
    <mergeCell ref="A324:C324"/>
    <mergeCell ref="A27:C27"/>
    <mergeCell ref="A54:C54"/>
    <mergeCell ref="A81:C81"/>
    <mergeCell ref="A108:C108"/>
    <mergeCell ref="A135:C135"/>
    <mergeCell ref="A162:C162"/>
  </mergeCells>
  <pageMargins left="0.39370078740157499" right="0.39370078740157499" top="0.196850393700787" bottom="0.196850393700787" header="0" footer="0"/>
  <pageSetup paperSize="9" orientation="portrait" r:id="rId1"/>
  <rowBreaks count="23" manualBreakCount="23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2023-01-17T11:13:01Z</cp:lastPrinted>
  <dcterms:created xsi:type="dcterms:W3CDTF">2012-02-27T08:19:11Z</dcterms:created>
  <dcterms:modified xsi:type="dcterms:W3CDTF">2023-02-21T06:56:28Z</dcterms:modified>
</cp:coreProperties>
</file>