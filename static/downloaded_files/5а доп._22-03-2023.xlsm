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<sst xmlns="http://schemas.openxmlformats.org/spreadsheetml/2006/main" count="2521" uniqueCount="475">
  <si>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</si>
  <si>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</si>
  <si>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</si>
  <si>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</si>
  <si>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</si>
  <si>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</si>
  <si>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</si>
  <si>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</si>
  <si>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</si>
  <si>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</si>
  <si>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</si>
  <si>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</si>
  <si>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</si>
  <si>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</si>
  <si>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</si>
  <si>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</si>
  <si>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</si>
  <si>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</si>
  <si>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</si>
  <si>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</si>
  <si>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</si>
  <si>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</si>
  <si>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</si>
  <si>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</si>
  <si>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</si>
  <si>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</si>
  <si>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</si>
  <si>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</si>
  <si>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</si>
  <si>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</si>
  <si>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</si>
  <si>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</si>
  <si>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</si>
  <si>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</si>
  <si>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</si>
  <si>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</si>
  <si>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</si>
  <si>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</si>
  <si>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</si>
  <si>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</si>
  <si>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</si>
  <si>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</si>
  <si>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</si>
  <si>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</si>
  <si>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</si>
  <si>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</si>
  <si>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</si>
  <si>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</si>
  <si>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</si>
  <si>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</si>
  <si>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</si>
  <si>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</si>
  <si>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</si>
  <si>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</si>
  <si>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</si>
  <si>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</si>
  <si>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</si>
  <si>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</si>
  <si>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</si>
  <si>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</si>
  <si>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</si>
  <si>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</si>
  <si>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</si>
  <si>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</si>
  <si>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</si>
  <si>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</si>
  <si>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</si>
  <si>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</si>
  <si>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</si>
  <si>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</si>
  <si>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</si>
  <si>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</si>
  <si>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</si>
  <si>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</si>
  <si>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</si>
  <si>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</si>
  <si>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</si>
  <si>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</si>
  <si>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</si>
  <si>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</si>
  <si>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</si>
  <si>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</si>
  <si>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</si>
  <si>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</si>
  <si>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</si>
  <si>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</si>
  <si>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</si>
  <si>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</si>
  <si>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</si>
  <si>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</si>
  <si>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</si>
  <si>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</si>
  <si>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</si>
  <si>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</si>
  <si>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</si>
  <si>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</si>
  <si>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</si>
  <si>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</si>
  <si>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</si>
  <si>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</si>
  <si>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</si>
  <si>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</si>
  <si>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</si>
  <si>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</si>
  <si>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</si>
  <si>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</si>
  <si>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</si>
  <si>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</si>
  <si>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</si>
  <si>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</si>
  <si>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</si>
  <si>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</si>
  <si>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</si>
  <si>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</si>
  <si>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</si>
  <si>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</si>
  <si>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</si>
  <si>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</si>
  <si>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</si>
  <si>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</si>
  <si>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</si>
  <si>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</si>
  <si>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</si>
  <si>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</si>
  <si>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</si>
  <si>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</si>
  <si>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</si>
  <si>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</si>
  <si>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</si>
  <si>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</si>
  <si>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</si>
  <si>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</si>
  <si>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</si>
  <si>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</si>
  <si>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</si>
  <si>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</si>
  <si>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</si>
  <si>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</si>
  <si>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</si>
  <si>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</si>
  <si>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</si>
  <si>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</si>
  <si>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</si>
  <si>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</si>
  <si>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</si>
  <si>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</si>
  <si>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</si>
  <si>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</si>
  <si>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</si>
  <si>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</si>
  <si>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</si>
  <si>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</si>
  <si>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</si>
  <si>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</si>
  <si>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</si>
  <si>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</si>
  <si>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</si>
  <si>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</si>
  <si>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</si>
  <si>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</si>
  <si>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</si>
  <si>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</si>
  <si>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</si>
  <si>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</si>
  <si>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</si>
  <si>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</si>
  <si>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</si>
  <si>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</si>
  <si>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</si>
  <si>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</si>
  <si>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</si>
  <si>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</si>
  <si>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</si>
  <si>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</si>
  <si>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</si>
  <si>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</si>
  <si>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</si>
  <si>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</si>
  <si>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</si>
  <si>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</si>
  <si>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</si>
  <si>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</si>
  <si>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</si>
  <si>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</si>
  <si>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</si>
  <si>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</si>
  <si>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</si>
  <si>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</si>
  <si>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</si>
  <si>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</si>
  <si>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</si>
  <si>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</si>
  <si>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</si>
  <si>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</si>
  <si>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</si>
  <si>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</si>
  <si>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</si>
  <si>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</si>
  <si>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</si>
  <si>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</si>
  <si>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</si>
  <si>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</si>
  <si>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</si>
  <si>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</si>
  <si>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</si>
  <si>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</si>
  <si>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</si>
  <si>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</si>
  <si>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</si>
  <si>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</si>
  <si>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</si>
  <si>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</si>
  <si>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</si>
  <si>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</si>
  <si>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</si>
  <si>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</si>
  <si>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</si>
  <si>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</si>
  <si>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</si>
  <si>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</si>
  <si>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</si>
  <si>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</si>
  <si>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</si>
  <si>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</si>
  <si>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</si>
  <si>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</si>
  <si>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</si>
  <si>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</si>
  <si>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</si>
  <si>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</si>
  <si>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</si>
  <si>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</si>
  <si>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</si>
  <si>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</si>
  <si>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</si>
  <si>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</si>
  <si>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</si>
  <si>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</si>
  <si>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</si>
  <si>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</si>
  <si>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</si>
  <si>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</si>
  <si>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</si>
  <si>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</si>
  <si>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</si>
  <si>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</si>
  <si>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</si>
  <si>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</si>
  <si>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</si>
  <si>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</si>
  <si>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</si>
  <si>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</si>
  <si>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</si>
  <si>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</si>
  <si>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</si>
  <si>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</si>
  <si>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</si>
  <si>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</si>
  <si>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</si>
  <si>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</si>
  <si>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</si>
  <si>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</si>
  <si>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</si>
  <si>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</si>
  <si>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</si>
  <si>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</si>
  <si>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</si>
  <si>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</si>
  <si>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</si>
  <si>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</si>
  <si>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</si>
  <si>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</si>
  <si>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</si>
  <si>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</si>
  <si>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</si>
  <si>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</si>
  <si>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</si>
  <si>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</si>
  <si>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</si>
  <si>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</si>
  <si>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</si>
  <si>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</si>
  <si>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</si>
  <si>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</si>
  <si>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</si>
  <si>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</si>
  <si>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</si>
  <si>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</si>
  <si>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</si>
  <si>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</si>
  <si>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</si>
  <si>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</si>
  <si>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</si>
  <si>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</si>
  <si>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</si>
  <si>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</si>
  <si>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</si>
  <si>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</si>
  <si>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</si>
  <si>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</si>
  <si>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</si>
  <si>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</si>
  <si>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</si>
  <si>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</si>
  <si>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</si>
  <si>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</si>
  <si>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</si>
  <si>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</si>
  <si>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</si>
  <si>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</si>
  <si>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</si>
  <si>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</si>
  <si>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</si>
  <si>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</si>
  <si>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</si>
  <si>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</si>
  <si>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</si>
  <si>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</si>
  <si>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</si>
  <si>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</si>
  <si>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</si>
  <si>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</si>
  <si>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</si>
  <si>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</si>
  <si>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</si>
  <si>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</si>
  <si>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</si>
  <si>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</si>
  <si>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</si>
  <si>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</si>
  <si>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</si>
  <si>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</si>
  <si>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</si>
  <si>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</si>
  <si>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</si>
  <si>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</si>
  <si>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</si>
  <si>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</si>
  <si>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</si>
  <si>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</si>
  <si>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</si>
  <si>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</si>
  <si>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</si>
  <si>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</si>
  <si>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</si>
  <si>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</si>
  <si>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</si>
  <si>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</si>
  <si>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</si>
  <si>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</si>
  <si>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</si>
  <si>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</si>
  <si>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</si>
  <si>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</si>
  <si>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</si>
  <si>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</si>
  <si>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</si>
  <si>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</si>
  <si>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</si>
  <si>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</si>
  <si>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</si>
  <si>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</si>
  <si>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</si>
  <si>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</si>
  <si>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</si>
  <si>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</si>
  <si>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</si>
  <si>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</si>
  <si>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</si>
  <si>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</si>
  <si>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</si>
  <si>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</si>
  <si>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</si>
  <si>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</si>
  <si>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</si>
  <si>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</si>
  <si>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</si>
  <si>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</si>
  <si>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</si>
  <si>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</si>
  <si>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</si>
  <si>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</si>
  <si>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</si>
  <si>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</si>
  <si>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</si>
  <si>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</si>
  <si>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</si>
  <si>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</si>
  <si>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</si>
  <si>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</si>
  <si>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</si>
  <si>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</si>
  <si>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</si>
  <si>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</si>
  <si>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</si>
  <si>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</si>
  <si>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</si>
  <si>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</si>
  <si>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</si>
  <si>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00344 </t>
  </si>
  <si>
    <t xml:space="preserve">Шагимарданов Амир Айдарович          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</si>
  <si>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</si>
  <si>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</si>
  <si>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</si>
  <si>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</si>
  <si>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000861</t>
  </si>
  <si>
    <t xml:space="preserve">Абдрахманов Юлдаш Рафикович                       </t>
  </si>
  <si>
    <t xml:space="preserve">5а доп              </t>
  </si>
  <si>
    <t>000860</t>
  </si>
  <si>
    <t xml:space="preserve">Аджигитов Ахмад Рафаэльевич                       </t>
  </si>
  <si>
    <t>000857</t>
  </si>
  <si>
    <t xml:space="preserve">Айзатуллин Амир Эмилевич                          </t>
  </si>
  <si>
    <t>000847</t>
  </si>
  <si>
    <t xml:space="preserve">Ахмадуллин Арслан Наилевич                        </t>
  </si>
  <si>
    <t>000863</t>
  </si>
  <si>
    <t xml:space="preserve">Волков Дмитрий Евгеньевич                         </t>
  </si>
  <si>
    <t>000843</t>
  </si>
  <si>
    <t xml:space="preserve">Галаутдинов Камиль Рустамович                     </t>
  </si>
  <si>
    <t>000842</t>
  </si>
  <si>
    <t xml:space="preserve">Гаранин Кирилл Андреевич                          </t>
  </si>
  <si>
    <t>000856</t>
  </si>
  <si>
    <t xml:space="preserve">Гилманов Амир Рустемович                          </t>
  </si>
  <si>
    <t>000854</t>
  </si>
  <si>
    <t xml:space="preserve">Давлетов Али Радикович                            </t>
  </si>
  <si>
    <t>000864</t>
  </si>
  <si>
    <t xml:space="preserve">Ильичев Денис Алексеевич                          </t>
  </si>
  <si>
    <t>000851</t>
  </si>
  <si>
    <t xml:space="preserve">Кудинов Нил Александрович                         </t>
  </si>
  <si>
    <t>000844</t>
  </si>
  <si>
    <t xml:space="preserve">Минимуллин Камиль Расимович                       </t>
  </si>
  <si>
    <t>000848</t>
  </si>
  <si>
    <t xml:space="preserve">Муллакаев Ибрахим Фидаилевич                      </t>
  </si>
  <si>
    <t>000858</t>
  </si>
  <si>
    <t xml:space="preserve">Мустафин Султан Радикович                         </t>
  </si>
  <si>
    <t>000852</t>
  </si>
  <si>
    <t xml:space="preserve">Олудин Никита Алексеевич                          </t>
  </si>
  <si>
    <t>000855</t>
  </si>
  <si>
    <t xml:space="preserve">Фатхутдинов Карим Динарович                       </t>
  </si>
  <si>
    <t>000850</t>
  </si>
  <si>
    <t xml:space="preserve">Хаертдинов Мурат Наилевич                         </t>
  </si>
  <si>
    <t>000845</t>
  </si>
  <si>
    <t xml:space="preserve">Шаммасов Мансур Ренатович                         </t>
  </si>
  <si>
    <t>000859</t>
  </si>
  <si>
    <t xml:space="preserve">Шарафутдинов Тагир Азатович                       </t>
  </si>
  <si>
    <t>000862</t>
  </si>
  <si>
    <t xml:space="preserve">Яруллин Халиль Фаилевич                           </t>
  </si>
  <si>
    <t>Сумма: 5970 руб. 00 коп.</t>
  </si>
  <si>
    <t>000849</t>
  </si>
  <si>
    <t xml:space="preserve">Валиев Азамат Ленарович                           </t>
  </si>
  <si>
    <t>Сумма: 11940 руб. 00 коп.</t>
  </si>
  <si>
    <t>февр</t>
  </si>
  <si>
    <t>ЛС: 000861; ФИО обучающегося: Абдрахманов Юлдаш Рафикович                       ; Назначение: 5а доп февр; КБК: 82100000000000000131; ОКТМО: 92701000</t>
  </si>
  <si>
    <t>ЛС: 000860; ФИО обучающегося: Аджигитов Ахмад Рафаэльевич                       ; Назначение: 5а доп февр; КБК: 82100000000000000131; ОКТМО: 92701000</t>
  </si>
  <si>
    <t>ЛС: 000857; ФИО обучающегося: Айзатуллин Амир Эмилевич                          ; Назначение: 5а доп февр; КБК: 82100000000000000131; ОКТМО: 92701000</t>
  </si>
  <si>
    <t>ЛС: 000847; ФИО обучающегося: Ахмадуллин Арслан Наилевич                        ; Назначение: 5а доп февр; КБК: 82100000000000000131; ОКТМО: 92701000</t>
  </si>
  <si>
    <t>ЛС: 000849; ФИО обучающегося: Валиев Азамат Ленарович                           ; Назначение: 5а доп февр; КБК: 82100000000000000131; ОКТМО: 92701000</t>
  </si>
  <si>
    <t>ЛС: 000863; ФИО обучающегося: Волков Дмитрий Евгеньевич                         ; Назначение: 5а доп февр; КБК: 82100000000000000131; ОКТМО: 92701000</t>
  </si>
  <si>
    <t>ЛС: 000843; ФИО обучающегося: Галаутдинов Камиль Рустамович                     ; Назначение: 5а доп февр; КБК: 82100000000000000131; ОКТМО: 92701000</t>
  </si>
  <si>
    <t>ЛС: 000842; ФИО обучающегося: Гаранин Кирилл Андреевич                          ; Назначение: 5а доп февр; КБК: 82100000000000000131; ОКТМО: 92701000</t>
  </si>
  <si>
    <t>ЛС: 000856; ФИО обучающегося: Гилманов Амир Рустемович                          ; Назначение: 5а доп февр; КБК: 82100000000000000131; ОКТМО: 92701000</t>
  </si>
  <si>
    <t>ЛС: 000853; ФИО обучающегося: Гимранов Рифат Рамилевич                          ; Назначение: 5а доп февр; КБК: 82100000000000000131; ОКТМО: 92701000</t>
  </si>
  <si>
    <t>ЛС: 000854; ФИО обучающегося: Давлетов Али Радикович                            ; Назначение: 5а доп февр; КБК: 82100000000000000131; ОКТМО: 92701000</t>
  </si>
  <si>
    <t>ЛС: 000864; ФИО обучающегося: Ильичев Денис Алексеевич                          ; Назначение: 5а доп февр; КБК: 82100000000000000131; ОКТМО: 92701000</t>
  </si>
  <si>
    <t>ЛС: 000851; ФИО обучающегося: Кудинов Нил Александрович                         ; Назначение: 5а доп февр; КБК: 82100000000000000131; ОКТМО: 92701000</t>
  </si>
  <si>
    <t>ЛС: 000844; ФИО обучающегося: Минимуллин Камиль Расимович                       ; Назначение: 5а доп февр; КБК: 82100000000000000131; ОКТМО: 92701000</t>
  </si>
  <si>
    <t>ЛС: 000848; ФИО обучающегося: Муллакаев Ибрахим Фидаилевич                      ; Назначение: 5а доп февр; КБК: 82100000000000000131; ОКТМО: 92701000</t>
  </si>
  <si>
    <t>ЛС: 000858; ФИО обучающегося: Мустафин Султан Радикович                         ; Назначение: 5а доп февр; КБК: 82100000000000000131; ОКТМО: 92701000</t>
  </si>
  <si>
    <t>ЛС: 000852; ФИО обучающегося: Олудин Никита Алексеевич                          ; Назначение: 5а доп февр; КБК: 82100000000000000131; ОКТМО: 92701000</t>
  </si>
  <si>
    <t>ЛС: 000855; ФИО обучающегося: Фатхутдинов Карим Динарович                       ; Назначение: 5а доп февр; КБК: 82100000000000000131; ОКТМО: 92701000</t>
  </si>
  <si>
    <t>ЛС: 000850; ФИО обучающегося: Хаертдинов Мурат Наилевич                         ; Назначение: 5а доп февр; КБК: 82100000000000000131; ОКТМО: 92701000</t>
  </si>
  <si>
    <t>ЛС: 000845; ФИО обучающегося: Шаммасов Мансур Ренатович                         ; Назначение: 5а доп февр; КБК: 82100000000000000131; ОКТМО: 92701000</t>
  </si>
  <si>
    <t>ЛС: 000859; ФИО обучающегося: Шарафутдинов Тагир Азатович                       ; Назначение: 5а доп февр; КБК: 82100000000000000131; ОКТМО: 92701000</t>
  </si>
  <si>
    <t>ЛС: 000862; ФИО обучающегося: Яруллин Халиль Фаилевич                           ; Назначение: 5а доп февр; КБК: 82100000000000000131; ОКТМО: 92701000</t>
  </si>
  <si>
    <t>март</t>
  </si>
  <si>
    <t>5а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</si>
</sst>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7" headerRowDxfId="23" dataDxfId="21" totalsRowDxfId="19" headerRowBorderDxfId="22" tableBorderDxfId="20">
  <autoFilter ref="A6:H2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2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405</v>
      </c>
      <c r="B2" s="92" t="s">
        <v>406</v>
      </c>
      <c r="C2" s="92" t="s">
        <v>407</v>
      </c>
      <c r="D2" s="92" t="s">
        <v>473</v>
      </c>
      <c r="E2" s="93">
        <v>5970</v>
      </c>
      <c r="F2" s="98" t="str">
        <f>TRIM(A2)</f>
        <v>000861</v>
      </c>
      <c r="G2" s="31" t="str">
        <f t="shared" ref="G2:G46" si="0">B2</f>
        <v xml:space="preserve">Абдрахманов Юлдаш Рафикович                       </v>
      </c>
      <c r="H2" s="31" t="str">
        <f>CONCATENATE(TRIM(C2)," ",D2)</f>
        <v>5а доп март</v>
      </c>
      <c r="I2" s="94" t="s">
        <v>396</v>
      </c>
      <c r="J2" s="31">
        <v>92701000</v>
      </c>
      <c r="M2" s="31">
        <f t="shared" ref="M2:M63" si="1">E2</f>
        <v>5970</v>
      </c>
    </row>
    <row r="3" spans="1:13" x14ac:dyDescent="0.25">
      <c r="A3" s="92" t="s">
        <v>408</v>
      </c>
      <c r="B3" s="92" t="s">
        <v>409</v>
      </c>
      <c r="C3" s="92" t="s">
        <v>407</v>
      </c>
      <c r="D3" s="92" t="s">
        <v>473</v>
      </c>
      <c r="E3" s="93">
        <v>5970</v>
      </c>
      <c r="F3" s="98" t="str">
        <f t="shared" ref="F3:F66" si="2">TRIM(A3)</f>
        <v>000860</v>
      </c>
      <c r="G3" s="31" t="str">
        <f t="shared" si="0"/>
        <v xml:space="preserve">Аджигитов Ахмад Рафаэльевич                       </v>
      </c>
      <c r="H3" s="31" t="str">
        <f t="shared" ref="H3:H66" si="3">CONCATENATE(TRIM(C3)," ",D3)</f>
        <v>5а доп март</v>
      </c>
      <c r="I3" s="94" t="s">
        <v>396</v>
      </c>
      <c r="J3" s="31">
        <v>92701000</v>
      </c>
      <c r="M3" s="31">
        <f t="shared" si="1"/>
        <v>5970</v>
      </c>
    </row>
    <row r="4" spans="1:13" x14ac:dyDescent="0.25">
      <c r="A4" s="92" t="s">
        <v>410</v>
      </c>
      <c r="B4" s="92" t="s">
        <v>411</v>
      </c>
      <c r="C4" s="92" t="s">
        <v>407</v>
      </c>
      <c r="D4" s="92" t="s">
        <v>473</v>
      </c>
      <c r="E4" s="93">
        <v>5910</v>
      </c>
      <c r="F4" s="98" t="str">
        <f t="shared" si="2"/>
        <v>000857</v>
      </c>
      <c r="G4" s="31" t="str">
        <f t="shared" si="0"/>
        <v xml:space="preserve">Айзатуллин Амир Эмилевич                          </v>
      </c>
      <c r="H4" s="31" t="str">
        <f t="shared" si="3"/>
        <v>5а доп март</v>
      </c>
      <c r="I4" s="94" t="s">
        <v>396</v>
      </c>
      <c r="J4" s="31">
        <v>92701000</v>
      </c>
      <c r="M4" s="31">
        <f t="shared" si="1"/>
        <v>5910</v>
      </c>
    </row>
    <row r="5" spans="1:13" x14ac:dyDescent="0.25">
      <c r="A5" s="92" t="s">
        <v>412</v>
      </c>
      <c r="B5" s="92" t="s">
        <v>413</v>
      </c>
      <c r="C5" s="92" t="s">
        <v>407</v>
      </c>
      <c r="D5" s="92" t="s">
        <v>473</v>
      </c>
      <c r="E5" s="93">
        <v>11940</v>
      </c>
      <c r="F5" s="98" t="str">
        <f t="shared" si="2"/>
        <v>000847</v>
      </c>
      <c r="G5" s="31" t="str">
        <f t="shared" si="0"/>
        <v xml:space="preserve">Ахмадуллин Арслан Наилевич                        </v>
      </c>
      <c r="H5" s="31" t="str">
        <f t="shared" si="3"/>
        <v>5а доп март</v>
      </c>
      <c r="I5" s="94" t="s">
        <v>396</v>
      </c>
      <c r="J5" s="31">
        <v>92701000</v>
      </c>
      <c r="M5" s="31">
        <f t="shared" si="1"/>
        <v>11940</v>
      </c>
    </row>
    <row r="6" spans="1:13" x14ac:dyDescent="0.25">
      <c r="A6" s="92" t="s">
        <v>447</v>
      </c>
      <c r="B6" s="92" t="s">
        <v>448</v>
      </c>
      <c r="C6" s="92" t="s">
        <v>407</v>
      </c>
      <c r="D6" s="92" t="s">
        <v>473</v>
      </c>
      <c r="E6" s="93">
        <v>5970</v>
      </c>
      <c r="F6" s="98" t="str">
        <f t="shared" si="2"/>
        <v>000849</v>
      </c>
      <c r="G6" s="31" t="str">
        <f t="shared" si="0"/>
        <v xml:space="preserve">Валиев Азамат Ленарович                           </v>
      </c>
      <c r="H6" s="31" t="str">
        <f t="shared" si="3"/>
        <v>5а доп март</v>
      </c>
      <c r="I6" s="94" t="s">
        <v>396</v>
      </c>
      <c r="J6" s="31">
        <v>92701000</v>
      </c>
      <c r="M6" s="31">
        <f t="shared" si="1"/>
        <v>5970</v>
      </c>
    </row>
    <row r="7" spans="1:13" x14ac:dyDescent="0.25">
      <c r="A7" s="92" t="s">
        <v>414</v>
      </c>
      <c r="B7" s="92" t="s">
        <v>415</v>
      </c>
      <c r="C7" s="92" t="s">
        <v>407</v>
      </c>
      <c r="D7" s="92" t="s">
        <v>473</v>
      </c>
      <c r="E7" s="93">
        <v>5970</v>
      </c>
      <c r="F7" s="98" t="str">
        <f t="shared" si="2"/>
        <v>000863</v>
      </c>
      <c r="G7" s="31" t="str">
        <f t="shared" si="0"/>
        <v xml:space="preserve">Волков Дмитрий Евгеньевич                         </v>
      </c>
      <c r="H7" s="31" t="str">
        <f t="shared" si="3"/>
        <v>5а доп март</v>
      </c>
      <c r="I7" s="94" t="s">
        <v>396</v>
      </c>
      <c r="J7" s="31">
        <v>92701000</v>
      </c>
      <c r="M7" s="31">
        <f t="shared" si="1"/>
        <v>5970</v>
      </c>
    </row>
    <row r="8" spans="1:13" x14ac:dyDescent="0.25">
      <c r="A8" s="92" t="s">
        <v>416</v>
      </c>
      <c r="B8" s="92" t="s">
        <v>417</v>
      </c>
      <c r="C8" s="92" t="s">
        <v>407</v>
      </c>
      <c r="D8" s="92" t="s">
        <v>473</v>
      </c>
      <c r="E8" s="93">
        <v>5970</v>
      </c>
      <c r="F8" s="98" t="str">
        <f t="shared" si="2"/>
        <v>000843</v>
      </c>
      <c r="G8" s="31" t="str">
        <f t="shared" si="0"/>
        <v xml:space="preserve">Галаутдинов Камиль Рустамович                     </v>
      </c>
      <c r="H8" s="31" t="str">
        <f t="shared" si="3"/>
        <v>5а доп март</v>
      </c>
      <c r="I8" s="94" t="s">
        <v>396</v>
      </c>
      <c r="J8" s="31">
        <v>92701000</v>
      </c>
      <c r="M8" s="31">
        <f t="shared" si="1"/>
        <v>5970</v>
      </c>
    </row>
    <row r="9" spans="1:13" x14ac:dyDescent="0.25">
      <c r="A9" s="92" t="s">
        <v>418</v>
      </c>
      <c r="B9" s="92" t="s">
        <v>419</v>
      </c>
      <c r="C9" s="92" t="s">
        <v>407</v>
      </c>
      <c r="D9" s="92" t="s">
        <v>473</v>
      </c>
      <c r="E9" s="93">
        <v>5970</v>
      </c>
      <c r="F9" s="98" t="str">
        <f t="shared" si="2"/>
        <v>000842</v>
      </c>
      <c r="G9" s="31" t="str">
        <f t="shared" si="0"/>
        <v xml:space="preserve">Гаранин Кирилл Андреевич                          </v>
      </c>
      <c r="H9" s="31" t="str">
        <f t="shared" si="3"/>
        <v>5а доп март</v>
      </c>
      <c r="I9" s="94" t="s">
        <v>396</v>
      </c>
      <c r="J9" s="31">
        <v>92701000</v>
      </c>
      <c r="M9" s="31">
        <f t="shared" si="1"/>
        <v>5970</v>
      </c>
    </row>
    <row r="10" spans="1:13" x14ac:dyDescent="0.25">
      <c r="A10" s="92" t="s">
        <v>420</v>
      </c>
      <c r="B10" s="92" t="s">
        <v>421</v>
      </c>
      <c r="C10" s="92" t="s">
        <v>407</v>
      </c>
      <c r="D10" s="92" t="s">
        <v>473</v>
      </c>
      <c r="E10" s="93">
        <v>5970</v>
      </c>
      <c r="F10" s="98" t="str">
        <f t="shared" si="2"/>
        <v>000856</v>
      </c>
      <c r="G10" s="31" t="str">
        <f t="shared" si="0"/>
        <v xml:space="preserve">Гилманов Амир Рустемович                          </v>
      </c>
      <c r="H10" s="31" t="str">
        <f t="shared" si="3"/>
        <v>5а доп март</v>
      </c>
      <c r="I10" s="94" t="s">
        <v>396</v>
      </c>
      <c r="J10" s="31">
        <v>92701000</v>
      </c>
      <c r="M10" s="31">
        <f t="shared" si="1"/>
        <v>5970</v>
      </c>
    </row>
    <row r="11" spans="1:13" x14ac:dyDescent="0.25">
      <c r="A11" s="92" t="s">
        <v>422</v>
      </c>
      <c r="B11" s="92" t="s">
        <v>423</v>
      </c>
      <c r="C11" s="92" t="s">
        <v>407</v>
      </c>
      <c r="D11" s="92" t="s">
        <v>473</v>
      </c>
      <c r="E11" s="93">
        <v>5970</v>
      </c>
      <c r="F11" s="98" t="str">
        <f t="shared" si="2"/>
        <v>000854</v>
      </c>
      <c r="G11" s="31" t="str">
        <f t="shared" si="0"/>
        <v xml:space="preserve">Давлетов Али Радикович                            </v>
      </c>
      <c r="H11" s="31" t="str">
        <f t="shared" si="3"/>
        <v>5а доп март</v>
      </c>
      <c r="I11" s="94" t="s">
        <v>396</v>
      </c>
      <c r="J11" s="31">
        <v>92701000</v>
      </c>
      <c r="M11" s="31">
        <f t="shared" si="1"/>
        <v>5970</v>
      </c>
    </row>
    <row r="12" spans="1:13" x14ac:dyDescent="0.25">
      <c r="A12" s="92" t="s">
        <v>424</v>
      </c>
      <c r="B12" s="92" t="s">
        <v>425</v>
      </c>
      <c r="C12" s="92" t="s">
        <v>407</v>
      </c>
      <c r="D12" s="92" t="s">
        <v>473</v>
      </c>
      <c r="E12" s="93">
        <v>5970</v>
      </c>
      <c r="F12" s="98" t="str">
        <f t="shared" si="2"/>
        <v>000864</v>
      </c>
      <c r="G12" s="31" t="str">
        <f t="shared" si="0"/>
        <v xml:space="preserve">Ильичев Денис Алексеевич                          </v>
      </c>
      <c r="H12" s="31" t="str">
        <f t="shared" si="3"/>
        <v>5а доп март</v>
      </c>
      <c r="I12" s="94" t="s">
        <v>396</v>
      </c>
      <c r="J12" s="31">
        <v>92701000</v>
      </c>
      <c r="M12" s="31">
        <f t="shared" si="1"/>
        <v>5970</v>
      </c>
    </row>
    <row r="13" spans="1:13" x14ac:dyDescent="0.25">
      <c r="A13" s="92" t="s">
        <v>426</v>
      </c>
      <c r="B13" s="92" t="s">
        <v>427</v>
      </c>
      <c r="C13" s="92" t="s">
        <v>407</v>
      </c>
      <c r="D13" s="92" t="s">
        <v>473</v>
      </c>
      <c r="E13" s="93">
        <v>5970</v>
      </c>
      <c r="F13" s="98" t="str">
        <f t="shared" si="2"/>
        <v>000851</v>
      </c>
      <c r="G13" s="31" t="str">
        <f t="shared" si="0"/>
        <v xml:space="preserve">Кудинов Нил Александрович                         </v>
      </c>
      <c r="H13" s="31" t="str">
        <f t="shared" si="3"/>
        <v>5а доп март</v>
      </c>
      <c r="I13" s="94" t="s">
        <v>396</v>
      </c>
      <c r="J13" s="31">
        <v>92701000</v>
      </c>
      <c r="M13" s="31">
        <f t="shared" si="1"/>
        <v>5970</v>
      </c>
    </row>
    <row r="14" spans="1:13" x14ac:dyDescent="0.25">
      <c r="A14" s="92" t="s">
        <v>428</v>
      </c>
      <c r="B14" s="92" t="s">
        <v>429</v>
      </c>
      <c r="C14" s="92" t="s">
        <v>407</v>
      </c>
      <c r="D14" s="92" t="s">
        <v>473</v>
      </c>
      <c r="E14" s="93">
        <v>5970</v>
      </c>
      <c r="F14" s="98" t="str">
        <f t="shared" si="2"/>
        <v>000844</v>
      </c>
      <c r="G14" s="31" t="str">
        <f t="shared" si="0"/>
        <v xml:space="preserve">Минимуллин Камиль Расимович                       </v>
      </c>
      <c r="H14" s="31" t="str">
        <f t="shared" si="3"/>
        <v>5а доп март</v>
      </c>
      <c r="I14" s="94" t="s">
        <v>396</v>
      </c>
      <c r="J14" s="31">
        <v>92701000</v>
      </c>
      <c r="M14" s="31">
        <f t="shared" si="1"/>
        <v>5970</v>
      </c>
    </row>
    <row r="15" spans="1:13" x14ac:dyDescent="0.25">
      <c r="A15" s="92" t="s">
        <v>430</v>
      </c>
      <c r="B15" s="92" t="s">
        <v>431</v>
      </c>
      <c r="C15" s="92" t="s">
        <v>407</v>
      </c>
      <c r="D15" s="92" t="s">
        <v>473</v>
      </c>
      <c r="E15" s="93">
        <v>5970</v>
      </c>
      <c r="F15" s="98" t="str">
        <f t="shared" si="2"/>
        <v>000848</v>
      </c>
      <c r="G15" s="31" t="str">
        <f t="shared" si="0"/>
        <v xml:space="preserve">Муллакаев Ибрахим Фидаилевич                      </v>
      </c>
      <c r="H15" s="31" t="str">
        <f t="shared" si="3"/>
        <v>5а доп март</v>
      </c>
      <c r="I15" s="94" t="s">
        <v>396</v>
      </c>
      <c r="J15" s="31">
        <v>92701000</v>
      </c>
      <c r="M15" s="31">
        <f t="shared" si="1"/>
        <v>5970</v>
      </c>
    </row>
    <row r="16" spans="1:13" x14ac:dyDescent="0.25">
      <c r="A16" s="92" t="s">
        <v>432</v>
      </c>
      <c r="B16" s="92" t="s">
        <v>433</v>
      </c>
      <c r="C16" s="92" t="s">
        <v>407</v>
      </c>
      <c r="D16" s="92" t="s">
        <v>473</v>
      </c>
      <c r="E16" s="93">
        <v>17910</v>
      </c>
      <c r="F16" s="98" t="str">
        <f t="shared" si="2"/>
        <v>000858</v>
      </c>
      <c r="G16" s="31" t="str">
        <f t="shared" si="0"/>
        <v xml:space="preserve">Мустафин Султан Радикович                         </v>
      </c>
      <c r="H16" s="31" t="str">
        <f t="shared" si="3"/>
        <v>5а доп март</v>
      </c>
      <c r="I16" s="94" t="s">
        <v>396</v>
      </c>
      <c r="J16" s="31">
        <v>92701000</v>
      </c>
      <c r="M16" s="31">
        <f t="shared" si="1"/>
        <v>17910</v>
      </c>
    </row>
    <row r="17" spans="1:13" x14ac:dyDescent="0.25">
      <c r="A17" s="92" t="s">
        <v>434</v>
      </c>
      <c r="B17" s="92" t="s">
        <v>435</v>
      </c>
      <c r="C17" s="92" t="s">
        <v>407</v>
      </c>
      <c r="D17" s="92" t="s">
        <v>473</v>
      </c>
      <c r="E17" s="93">
        <v>5970</v>
      </c>
      <c r="F17" s="98" t="str">
        <f t="shared" si="2"/>
        <v>000852</v>
      </c>
      <c r="G17" s="31" t="str">
        <f t="shared" si="0"/>
        <v xml:space="preserve">Олудин Никита Алексеевич                          </v>
      </c>
      <c r="H17" s="31" t="str">
        <f t="shared" si="3"/>
        <v>5а доп март</v>
      </c>
      <c r="I17" s="94" t="s">
        <v>396</v>
      </c>
      <c r="J17" s="31">
        <v>92701000</v>
      </c>
      <c r="M17" s="31">
        <f t="shared" si="1"/>
        <v>5970</v>
      </c>
    </row>
    <row r="18" spans="1:13" x14ac:dyDescent="0.25">
      <c r="A18" s="92" t="s">
        <v>436</v>
      </c>
      <c r="B18" s="92" t="s">
        <v>437</v>
      </c>
      <c r="C18" s="92" t="s">
        <v>407</v>
      </c>
      <c r="D18" s="92" t="s">
        <v>473</v>
      </c>
      <c r="E18" s="93">
        <v>5970</v>
      </c>
      <c r="F18" s="98" t="str">
        <f t="shared" si="2"/>
        <v>000855</v>
      </c>
      <c r="G18" s="31" t="str">
        <f t="shared" si="0"/>
        <v xml:space="preserve">Фатхутдинов Карим Динарович                       </v>
      </c>
      <c r="H18" s="31" t="str">
        <f t="shared" si="3"/>
        <v>5а доп март</v>
      </c>
      <c r="I18" s="94" t="s">
        <v>396</v>
      </c>
      <c r="J18" s="31">
        <v>92701000</v>
      </c>
      <c r="M18" s="31">
        <f t="shared" si="1"/>
        <v>5970</v>
      </c>
    </row>
    <row r="19" spans="1:13" x14ac:dyDescent="0.25">
      <c r="A19" s="92" t="s">
        <v>438</v>
      </c>
      <c r="B19" s="92" t="s">
        <v>439</v>
      </c>
      <c r="C19" s="92" t="s">
        <v>407</v>
      </c>
      <c r="D19" s="92" t="s">
        <v>473</v>
      </c>
      <c r="E19" s="93">
        <v>5970</v>
      </c>
      <c r="F19" s="98" t="str">
        <f t="shared" si="2"/>
        <v>000850</v>
      </c>
      <c r="G19" s="31" t="str">
        <f t="shared" si="0"/>
        <v xml:space="preserve">Хаертдинов Мурат Наилевич                         </v>
      </c>
      <c r="H19" s="31" t="str">
        <f t="shared" si="3"/>
        <v>5а доп март</v>
      </c>
      <c r="I19" s="94" t="s">
        <v>396</v>
      </c>
      <c r="J19" s="31">
        <v>92701000</v>
      </c>
      <c r="M19" s="31">
        <f t="shared" si="1"/>
        <v>5970</v>
      </c>
    </row>
    <row r="20" spans="1:13" x14ac:dyDescent="0.25">
      <c r="A20" s="92" t="s">
        <v>440</v>
      </c>
      <c r="B20" s="92" t="s">
        <v>441</v>
      </c>
      <c r="C20" s="92" t="s">
        <v>407</v>
      </c>
      <c r="D20" s="92" t="s">
        <v>473</v>
      </c>
      <c r="E20" s="93">
        <v>5970</v>
      </c>
      <c r="F20" s="98" t="str">
        <f t="shared" si="2"/>
        <v>000845</v>
      </c>
      <c r="G20" s="31" t="str">
        <f t="shared" si="0"/>
        <v xml:space="preserve">Шаммасов Мансур Ренатович                         </v>
      </c>
      <c r="H20" s="31" t="str">
        <f t="shared" si="3"/>
        <v>5а доп март</v>
      </c>
      <c r="I20" s="94" t="s">
        <v>396</v>
      </c>
      <c r="J20" s="31">
        <v>92701000</v>
      </c>
      <c r="M20" s="31">
        <f t="shared" si="1"/>
        <v>5970</v>
      </c>
    </row>
    <row r="21" spans="1:13" x14ac:dyDescent="0.25">
      <c r="A21" s="92" t="s">
        <v>442</v>
      </c>
      <c r="B21" s="92" t="s">
        <v>443</v>
      </c>
      <c r="C21" s="92" t="s">
        <v>407</v>
      </c>
      <c r="D21" s="92" t="s">
        <v>473</v>
      </c>
      <c r="E21" s="93">
        <v>5970</v>
      </c>
      <c r="F21" s="98" t="str">
        <f t="shared" si="2"/>
        <v>000859</v>
      </c>
      <c r="G21" s="31" t="str">
        <f t="shared" si="0"/>
        <v xml:space="preserve">Шарафутдинов Тагир Азатович                       </v>
      </c>
      <c r="H21" s="31" t="str">
        <f t="shared" si="3"/>
        <v>5а доп март</v>
      </c>
      <c r="I21" s="94" t="s">
        <v>396</v>
      </c>
      <c r="J21" s="31">
        <v>92701000</v>
      </c>
      <c r="M21" s="31">
        <f t="shared" si="1"/>
        <v>5970</v>
      </c>
    </row>
    <row r="22" spans="1:13" x14ac:dyDescent="0.25">
      <c r="A22" s="92" t="s">
        <v>444</v>
      </c>
      <c r="B22" s="92" t="s">
        <v>445</v>
      </c>
      <c r="C22" s="92" t="s">
        <v>407</v>
      </c>
      <c r="D22" s="92" t="s">
        <v>473</v>
      </c>
      <c r="E22" s="93">
        <v>5970</v>
      </c>
      <c r="F22" s="98" t="str">
        <f t="shared" si="2"/>
        <v>000862</v>
      </c>
      <c r="G22" s="31" t="str">
        <f t="shared" si="0"/>
        <v xml:space="preserve">Яруллин Халиль Фаилевич                           </v>
      </c>
      <c r="H22" s="31" t="str">
        <f t="shared" si="3"/>
        <v>5а доп март</v>
      </c>
      <c r="I22" s="94" t="s">
        <v>396</v>
      </c>
      <c r="J22" s="31">
        <v>92701000</v>
      </c>
      <c r="M22" s="31">
        <f t="shared" si="1"/>
        <v>5970</v>
      </c>
    </row>
    <row r="23" spans="1:13" x14ac:dyDescent="0.25">
      <c r="A23" s="92" t="s">
        <v>444</v>
      </c>
      <c r="B23" s="92" t="s">
        <v>445</v>
      </c>
      <c r="C23" s="92" t="s">
        <v>407</v>
      </c>
      <c r="D23" s="92" t="s">
        <v>450</v>
      </c>
      <c r="E23" s="93">
        <v>5970</v>
      </c>
      <c r="F23" s="98" t="str">
        <f t="shared" si="2"/>
        <v>000862</v>
      </c>
      <c r="G23" s="31" t="str">
        <f t="shared" si="0"/>
        <v xml:space="preserve">Яруллин Халиль Фаилевич                           </v>
      </c>
      <c r="H23" s="31" t="str">
        <f t="shared" si="3"/>
        <v>5а доп февр</v>
      </c>
      <c r="I23" s="94" t="s">
        <v>396</v>
      </c>
      <c r="J23" s="31">
        <v>92701000</v>
      </c>
      <c r="M23" s="31">
        <f t="shared" si="1"/>
        <v>5970</v>
      </c>
    </row>
    <row r="24" spans="1:13" x14ac:dyDescent="0.25">
      <c r="A24" s="92" t="s">
        <v>399</v>
      </c>
      <c r="B24" s="92" t="s">
        <v>400</v>
      </c>
      <c r="C24" s="92" t="s">
        <v>398</v>
      </c>
      <c r="D24" s="92" t="s">
        <v>397</v>
      </c>
      <c r="E24" s="93">
        <v>8540</v>
      </c>
      <c r="F24" s="98" t="str">
        <f t="shared" si="2"/>
        <v>00344</v>
      </c>
      <c r="G24" s="31" t="str">
        <f t="shared" si="0"/>
        <v xml:space="preserve">Шагимарданов Амир Айдарович                       </v>
      </c>
      <c r="H24" s="31" t="str">
        <f t="shared" si="3"/>
        <v>10а доп сент-окт</v>
      </c>
      <c r="I24" s="94" t="s">
        <v>396</v>
      </c>
      <c r="J24" s="31">
        <v>92701000</v>
      </c>
      <c r="M24" s="31">
        <f t="shared" si="1"/>
        <v>8540</v>
      </c>
    </row>
    <row r="25" spans="1:13" x14ac:dyDescent="0.25">
      <c r="A25" s="92" t="s">
        <v>401</v>
      </c>
      <c r="B25" s="92" t="s">
        <v>402</v>
      </c>
      <c r="C25" s="92" t="s">
        <v>398</v>
      </c>
      <c r="D25" s="92" t="s">
        <v>397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396</v>
      </c>
      <c r="J25" s="31">
        <v>92701000</v>
      </c>
      <c r="M25" s="31">
        <f t="shared" si="1"/>
        <v>3814.58</v>
      </c>
    </row>
    <row r="26" spans="1:13" x14ac:dyDescent="0.25">
      <c r="A26" s="92" t="s">
        <v>403</v>
      </c>
      <c r="B26" s="92" t="s">
        <v>404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7"/>
  <sheetViews>
    <sheetView tabSelected="1" workbookViewId="0">
      <pane ySplit="6" topLeftCell="A7" activePane="bottomLeft" state="frozen"/>
      <selection activeCell="A2" sqref="A2"/>
      <selection pane="bottomLeft" activeCell="A28" sqref="A28:XFD2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143220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405</v>
      </c>
      <c r="B7" s="84" t="s">
        <v>406</v>
      </c>
      <c r="C7" s="84" t="s">
        <v>474</v>
      </c>
      <c r="D7" s="84" t="s">
        <v>396</v>
      </c>
      <c r="E7" s="87">
        <v>92701000</v>
      </c>
      <c r="F7" s="84"/>
      <c r="G7" s="84"/>
      <c r="H7" s="86">
        <v>5970</v>
      </c>
    </row>
    <row r="8" spans="1:8" x14ac:dyDescent="0.25">
      <c r="A8" s="95" t="s">
        <v>408</v>
      </c>
      <c r="B8" s="95" t="s">
        <v>409</v>
      </c>
      <c r="C8" s="95" t="s">
        <v>474</v>
      </c>
      <c r="D8" s="95" t="s">
        <v>396</v>
      </c>
      <c r="E8" s="95">
        <v>92701000</v>
      </c>
      <c r="F8" s="95"/>
      <c r="G8" s="95"/>
      <c r="H8" s="96">
        <v>5970</v>
      </c>
    </row>
    <row r="9" spans="1:8" x14ac:dyDescent="0.25">
      <c r="A9" s="95" t="s">
        <v>410</v>
      </c>
      <c r="B9" s="95" t="s">
        <v>411</v>
      </c>
      <c r="C9" s="95" t="s">
        <v>474</v>
      </c>
      <c r="D9" s="95" t="s">
        <v>396</v>
      </c>
      <c r="E9" s="95">
        <v>92701000</v>
      </c>
      <c r="F9" s="95"/>
      <c r="G9" s="95"/>
      <c r="H9" s="96">
        <v>5910</v>
      </c>
    </row>
    <row r="10" spans="1:8" x14ac:dyDescent="0.25">
      <c r="A10" s="95" t="s">
        <v>412</v>
      </c>
      <c r="B10" s="95" t="s">
        <v>413</v>
      </c>
      <c r="C10" s="95" t="s">
        <v>474</v>
      </c>
      <c r="D10" s="95" t="s">
        <v>396</v>
      </c>
      <c r="E10" s="95">
        <v>92701000</v>
      </c>
      <c r="F10" s="95"/>
      <c r="G10" s="95"/>
      <c r="H10" s="96">
        <v>11940</v>
      </c>
    </row>
    <row r="11" spans="1:8" x14ac:dyDescent="0.25">
      <c r="A11" s="95" t="s">
        <v>447</v>
      </c>
      <c r="B11" s="95" t="s">
        <v>448</v>
      </c>
      <c r="C11" s="95" t="s">
        <v>474</v>
      </c>
      <c r="D11" s="95" t="s">
        <v>396</v>
      </c>
      <c r="E11" s="95">
        <v>92701000</v>
      </c>
      <c r="F11" s="95"/>
      <c r="G11" s="95"/>
      <c r="H11" s="96">
        <v>5970</v>
      </c>
    </row>
    <row r="12" spans="1:8" x14ac:dyDescent="0.25">
      <c r="A12" s="95" t="s">
        <v>414</v>
      </c>
      <c r="B12" s="95" t="s">
        <v>415</v>
      </c>
      <c r="C12" s="95" t="s">
        <v>474</v>
      </c>
      <c r="D12" s="95" t="s">
        <v>396</v>
      </c>
      <c r="E12" s="95">
        <v>92701000</v>
      </c>
      <c r="F12" s="95"/>
      <c r="G12" s="95"/>
      <c r="H12" s="96">
        <v>5970</v>
      </c>
    </row>
    <row r="13" spans="1:8" x14ac:dyDescent="0.25">
      <c r="A13" s="95" t="s">
        <v>416</v>
      </c>
      <c r="B13" s="95" t="s">
        <v>417</v>
      </c>
      <c r="C13" s="95" t="s">
        <v>474</v>
      </c>
      <c r="D13" s="95" t="s">
        <v>396</v>
      </c>
      <c r="E13" s="95">
        <v>92701000</v>
      </c>
      <c r="F13" s="95"/>
      <c r="G13" s="95"/>
      <c r="H13" s="96">
        <v>5970</v>
      </c>
    </row>
    <row r="14" spans="1:8" x14ac:dyDescent="0.25">
      <c r="A14" s="95" t="s">
        <v>418</v>
      </c>
      <c r="B14" s="95" t="s">
        <v>419</v>
      </c>
      <c r="C14" s="95" t="s">
        <v>474</v>
      </c>
      <c r="D14" s="95" t="s">
        <v>396</v>
      </c>
      <c r="E14" s="95">
        <v>92701000</v>
      </c>
      <c r="F14" s="95"/>
      <c r="G14" s="95"/>
      <c r="H14" s="96">
        <v>5970</v>
      </c>
    </row>
    <row r="15" spans="1:8" x14ac:dyDescent="0.25">
      <c r="A15" s="95" t="s">
        <v>420</v>
      </c>
      <c r="B15" s="95" t="s">
        <v>421</v>
      </c>
      <c r="C15" s="95" t="s">
        <v>474</v>
      </c>
      <c r="D15" s="95" t="s">
        <v>396</v>
      </c>
      <c r="E15" s="95">
        <v>92701000</v>
      </c>
      <c r="F15" s="95"/>
      <c r="G15" s="95"/>
      <c r="H15" s="96">
        <v>5970</v>
      </c>
    </row>
    <row r="16" spans="1:8" x14ac:dyDescent="0.25">
      <c r="A16" s="95" t="s">
        <v>422</v>
      </c>
      <c r="B16" s="95" t="s">
        <v>423</v>
      </c>
      <c r="C16" s="95" t="s">
        <v>474</v>
      </c>
      <c r="D16" s="95" t="s">
        <v>396</v>
      </c>
      <c r="E16" s="95">
        <v>92701000</v>
      </c>
      <c r="F16" s="95"/>
      <c r="G16" s="95"/>
      <c r="H16" s="96">
        <v>5970</v>
      </c>
    </row>
    <row r="17" spans="1:8" x14ac:dyDescent="0.25">
      <c r="A17" s="95" t="s">
        <v>424</v>
      </c>
      <c r="B17" s="95" t="s">
        <v>425</v>
      </c>
      <c r="C17" s="95" t="s">
        <v>474</v>
      </c>
      <c r="D17" s="95" t="s">
        <v>396</v>
      </c>
      <c r="E17" s="95">
        <v>92701000</v>
      </c>
      <c r="F17" s="95"/>
      <c r="G17" s="95"/>
      <c r="H17" s="96">
        <v>5970</v>
      </c>
    </row>
    <row r="18" spans="1:8" x14ac:dyDescent="0.25">
      <c r="A18" s="95" t="s">
        <v>426</v>
      </c>
      <c r="B18" s="95" t="s">
        <v>427</v>
      </c>
      <c r="C18" s="95" t="s">
        <v>474</v>
      </c>
      <c r="D18" s="95" t="s">
        <v>396</v>
      </c>
      <c r="E18" s="95">
        <v>92701000</v>
      </c>
      <c r="F18" s="95"/>
      <c r="G18" s="95"/>
      <c r="H18" s="96">
        <v>5970</v>
      </c>
    </row>
    <row r="19" spans="1:8" x14ac:dyDescent="0.25">
      <c r="A19" s="95" t="s">
        <v>428</v>
      </c>
      <c r="B19" s="95" t="s">
        <v>429</v>
      </c>
      <c r="C19" s="95" t="s">
        <v>474</v>
      </c>
      <c r="D19" s="95" t="s">
        <v>396</v>
      </c>
      <c r="E19" s="95">
        <v>92701000</v>
      </c>
      <c r="F19" s="95"/>
      <c r="G19" s="95"/>
      <c r="H19" s="96">
        <v>5970</v>
      </c>
    </row>
    <row r="20" spans="1:8" x14ac:dyDescent="0.25">
      <c r="A20" s="95" t="s">
        <v>430</v>
      </c>
      <c r="B20" s="95" t="s">
        <v>431</v>
      </c>
      <c r="C20" s="95" t="s">
        <v>474</v>
      </c>
      <c r="D20" s="95" t="s">
        <v>396</v>
      </c>
      <c r="E20" s="95">
        <v>92701000</v>
      </c>
      <c r="F20" s="95"/>
      <c r="G20" s="95"/>
      <c r="H20" s="96">
        <v>5970</v>
      </c>
    </row>
    <row r="21" spans="1:8" x14ac:dyDescent="0.25">
      <c r="A21" s="95" t="s">
        <v>432</v>
      </c>
      <c r="B21" s="95" t="s">
        <v>433</v>
      </c>
      <c r="C21" s="95" t="s">
        <v>474</v>
      </c>
      <c r="D21" s="95" t="s">
        <v>396</v>
      </c>
      <c r="E21" s="95">
        <v>92701000</v>
      </c>
      <c r="F21" s="95"/>
      <c r="G21" s="95"/>
      <c r="H21" s="96">
        <v>17910</v>
      </c>
    </row>
    <row r="22" spans="1:8" x14ac:dyDescent="0.25">
      <c r="A22" s="95" t="s">
        <v>434</v>
      </c>
      <c r="B22" s="95" t="s">
        <v>435</v>
      </c>
      <c r="C22" s="95" t="s">
        <v>474</v>
      </c>
      <c r="D22" s="95" t="s">
        <v>396</v>
      </c>
      <c r="E22" s="95">
        <v>92701000</v>
      </c>
      <c r="F22" s="95"/>
      <c r="G22" s="95"/>
      <c r="H22" s="96">
        <v>5970</v>
      </c>
    </row>
    <row r="23" spans="1:8" x14ac:dyDescent="0.25">
      <c r="A23" s="95" t="s">
        <v>436</v>
      </c>
      <c r="B23" s="95" t="s">
        <v>437</v>
      </c>
      <c r="C23" s="95" t="s">
        <v>474</v>
      </c>
      <c r="D23" s="95" t="s">
        <v>396</v>
      </c>
      <c r="E23" s="95">
        <v>92701000</v>
      </c>
      <c r="F23" s="95"/>
      <c r="G23" s="95"/>
      <c r="H23" s="96">
        <v>5970</v>
      </c>
    </row>
    <row r="24" spans="1:8" x14ac:dyDescent="0.25">
      <c r="A24" s="95" t="s">
        <v>438</v>
      </c>
      <c r="B24" s="95" t="s">
        <v>439</v>
      </c>
      <c r="C24" s="95" t="s">
        <v>474</v>
      </c>
      <c r="D24" s="95" t="s">
        <v>396</v>
      </c>
      <c r="E24" s="95">
        <v>92701000</v>
      </c>
      <c r="F24" s="95"/>
      <c r="G24" s="95"/>
      <c r="H24" s="96">
        <v>5970</v>
      </c>
    </row>
    <row r="25" spans="1:8" x14ac:dyDescent="0.25">
      <c r="A25" s="95" t="s">
        <v>440</v>
      </c>
      <c r="B25" s="95" t="s">
        <v>441</v>
      </c>
      <c r="C25" s="95" t="s">
        <v>474</v>
      </c>
      <c r="D25" s="95" t="s">
        <v>396</v>
      </c>
      <c r="E25" s="95">
        <v>92701000</v>
      </c>
      <c r="F25" s="95"/>
      <c r="G25" s="95"/>
      <c r="H25" s="96">
        <v>5970</v>
      </c>
    </row>
    <row r="26" spans="1:8" x14ac:dyDescent="0.25">
      <c r="A26" s="95" t="s">
        <v>442</v>
      </c>
      <c r="B26" s="95" t="s">
        <v>443</v>
      </c>
      <c r="C26" s="95" t="s">
        <v>474</v>
      </c>
      <c r="D26" s="95" t="s">
        <v>396</v>
      </c>
      <c r="E26" s="95">
        <v>92701000</v>
      </c>
      <c r="F26" s="95"/>
      <c r="G26" s="95"/>
      <c r="H26" s="96">
        <v>5970</v>
      </c>
    </row>
    <row r="27" spans="1:8" x14ac:dyDescent="0.25">
      <c r="A27" s="95" t="s">
        <v>444</v>
      </c>
      <c r="B27" s="95" t="s">
        <v>445</v>
      </c>
      <c r="C27" s="95" t="s">
        <v>474</v>
      </c>
      <c r="D27" s="95" t="s">
        <v>396</v>
      </c>
      <c r="E27" s="95">
        <v>92701000</v>
      </c>
      <c r="F27" s="95"/>
      <c r="G27" s="95"/>
      <c r="H27" s="96">
        <v>5970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449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449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446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446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455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455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456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446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456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446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457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457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458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446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458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446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459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459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460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449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460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449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461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461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462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462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463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463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446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446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468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468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469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449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469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449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470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446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470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446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471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471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472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472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2023-02-21T12:41:37Z</cp:lastPrinted>
  <dcterms:created xsi:type="dcterms:W3CDTF">2012-02-27T08:19:11Z</dcterms:created>
  <dcterms:modified xsi:type="dcterms:W3CDTF">2023-03-22T08:43:34Z</dcterms:modified>
</cp:coreProperties>
</file>