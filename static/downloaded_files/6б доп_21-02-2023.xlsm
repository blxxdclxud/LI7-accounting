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февраль 2023\"/>
    </mc:Choice>
  </mc:AlternateContent>
  <bookViews>
    <workbookView xWindow="-120" yWindow="-120" windowWidth="21840" windowHeight="13140" activeTab="7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3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00" i="283" l="1"/>
  <c r="C613" i="283" s="1"/>
  <c r="C598" i="283"/>
  <c r="C611" i="283" s="1"/>
  <c r="C596" i="283"/>
  <c r="C609" i="283" s="1"/>
  <c r="C584" i="283"/>
  <c r="C573" i="283"/>
  <c r="C586" i="283" s="1"/>
  <c r="C571" i="283"/>
  <c r="C569" i="283"/>
  <c r="C582" i="283" s="1"/>
  <c r="C546" i="283"/>
  <c r="C559" i="283" s="1"/>
  <c r="C544" i="283"/>
  <c r="C557" i="283" s="1"/>
  <c r="C542" i="283"/>
  <c r="C555" i="283" s="1"/>
  <c r="C530" i="283"/>
  <c r="C519" i="283"/>
  <c r="C532" i="283" s="1"/>
  <c r="C517" i="283"/>
  <c r="C515" i="283"/>
  <c r="C528" i="283" s="1"/>
  <c r="C492" i="283"/>
  <c r="C505" i="283" s="1"/>
  <c r="C490" i="283"/>
  <c r="C503" i="283" s="1"/>
  <c r="C488" i="283"/>
  <c r="C501" i="283" s="1"/>
  <c r="C476" i="283"/>
  <c r="C465" i="283"/>
  <c r="C478" i="283" s="1"/>
  <c r="C463" i="283"/>
  <c r="C461" i="283"/>
  <c r="C474" i="283" s="1"/>
  <c r="C438" i="283"/>
  <c r="C451" i="283" s="1"/>
  <c r="C436" i="283"/>
  <c r="C449" i="283" s="1"/>
  <c r="C434" i="283"/>
  <c r="C447" i="283" s="1"/>
  <c r="C422" i="283"/>
  <c r="C411" i="283"/>
  <c r="C424" i="283" s="1"/>
  <c r="C409" i="283"/>
  <c r="C407" i="283"/>
  <c r="C420" i="283" s="1"/>
  <c r="C384" i="283"/>
  <c r="C397" i="283" s="1"/>
  <c r="C382" i="283"/>
  <c r="C395" i="283" s="1"/>
  <c r="C380" i="283"/>
  <c r="C393" i="283" s="1"/>
  <c r="C368" i="283"/>
  <c r="C357" i="283"/>
  <c r="C370" i="283" s="1"/>
  <c r="C355" i="283"/>
  <c r="C353" i="283"/>
  <c r="C366" i="283" s="1"/>
  <c r="C339" i="283"/>
  <c r="C330" i="283"/>
  <c r="C343" i="283" s="1"/>
  <c r="C328" i="283"/>
  <c r="C341" i="283" s="1"/>
  <c r="C326" i="283"/>
  <c r="C314" i="283"/>
  <c r="C303" i="283"/>
  <c r="C316" i="283" s="1"/>
  <c r="C301" i="283"/>
  <c r="C299" i="283"/>
  <c r="C312" i="283" s="1"/>
  <c r="C285" i="283"/>
  <c r="C276" i="283"/>
  <c r="C289" i="283" s="1"/>
  <c r="C274" i="283"/>
  <c r="C287" i="283" s="1"/>
  <c r="C272" i="283"/>
  <c r="C262" i="283"/>
  <c r="C260" i="283"/>
  <c r="C249" i="283"/>
  <c r="C247" i="283"/>
  <c r="C245" i="283"/>
  <c r="C258" i="283" s="1"/>
  <c r="C231" i="283"/>
  <c r="C222" i="283"/>
  <c r="C235" i="283" s="1"/>
  <c r="C220" i="283"/>
  <c r="C233" i="283" s="1"/>
  <c r="C218" i="283"/>
  <c r="C208" i="283"/>
  <c r="C206" i="283"/>
  <c r="C195" i="283"/>
  <c r="C193" i="283"/>
  <c r="C191" i="283"/>
  <c r="C204" i="283" s="1"/>
  <c r="C177" i="283"/>
  <c r="C168" i="283"/>
  <c r="C181" i="283" s="1"/>
  <c r="C166" i="283"/>
  <c r="C179" i="283" s="1"/>
  <c r="C164" i="283"/>
  <c r="C154" i="283"/>
  <c r="C152" i="283"/>
  <c r="C141" i="283"/>
  <c r="C139" i="283"/>
  <c r="C137" i="283"/>
  <c r="C150" i="283" s="1"/>
  <c r="C123" i="283"/>
  <c r="C114" i="283"/>
  <c r="C127" i="283" s="1"/>
  <c r="C112" i="283"/>
  <c r="C125" i="283" s="1"/>
  <c r="C110" i="283"/>
  <c r="C100" i="283"/>
  <c r="C98" i="283"/>
  <c r="C87" i="283"/>
  <c r="C85" i="283"/>
  <c r="C83" i="283"/>
  <c r="C96" i="283" s="1"/>
  <c r="C69" i="283"/>
  <c r="C60" i="283"/>
  <c r="C73" i="283" s="1"/>
  <c r="C58" i="283"/>
  <c r="C71" i="283" s="1"/>
  <c r="C56" i="283"/>
  <c r="C46" i="283"/>
  <c r="C44" i="283"/>
  <c r="C33" i="283"/>
  <c r="C31" i="283"/>
  <c r="C29" i="283"/>
  <c r="C42" i="283" s="1"/>
  <c r="C15" i="283"/>
  <c r="C6" i="283"/>
  <c r="C19" i="283" s="1"/>
  <c r="C4" i="283"/>
  <c r="C17" i="283" s="1"/>
  <c r="C2" i="283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<sst xmlns="http://schemas.openxmlformats.org/spreadsheetml/2006/main" count="2552" uniqueCount="482">
  <si>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</si>
  <si>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</si>
  <si>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</si>
  <si>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</si>
  <si>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</si>
  <si>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</si>
  <si>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</si>
  <si>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</si>
  <si>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</si>
  <si>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</si>
  <si>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</si>
  <si>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</si>
  <si>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</si>
  <si>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</si>
  <si>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</si>
  <si>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</si>
  <si>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</si>
  <si>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</si>
  <si>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</si>
  <si>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</si>
  <si>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</si>
  <si>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</si>
  <si>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</si>
  <si>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</si>
  <si>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</si>
  <si>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</si>
  <si>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</si>
  <si>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</si>
  <si>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</si>
  <si>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</si>
  <si>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</si>
  <si>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</si>
  <si>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</si>
  <si>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</si>
  <si>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</si>
  <si>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</si>
  <si>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</si>
  <si>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</si>
  <si>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</si>
  <si>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</si>
  <si>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</si>
  <si>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</si>
  <si>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</si>
  <si>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</si>
  <si>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</si>
  <si>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</si>
  <si>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</si>
  <si>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</si>
  <si>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</si>
  <si>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</si>
  <si>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</si>
  <si>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</si>
  <si>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</si>
  <si>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</si>
  <si>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</si>
  <si>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</si>
  <si>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</si>
  <si>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</si>
  <si>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</si>
  <si>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</si>
  <si>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</si>
  <si>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</si>
  <si>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</si>
  <si>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</si>
  <si>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</si>
  <si>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</si>
  <si>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</si>
  <si>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</si>
  <si>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</si>
  <si>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</si>
  <si>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</si>
  <si>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</si>
  <si>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</si>
  <si>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</si>
  <si>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</si>
  <si>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</si>
  <si>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</si>
  <si>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</si>
  <si>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</si>
  <si>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</si>
  <si>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</si>
  <si>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</si>
  <si>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</si>
  <si>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</si>
  <si>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</si>
  <si>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</si>
  <si>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</si>
  <si>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</si>
  <si>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</si>
  <si>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</si>
  <si>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</si>
  <si>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</si>
  <si>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</si>
  <si>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</si>
  <si>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</si>
  <si>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</si>
  <si>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</si>
  <si>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</si>
  <si>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</si>
  <si>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</si>
  <si>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</si>
  <si>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</si>
  <si>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</si>
  <si>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</si>
  <si>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</si>
  <si>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</si>
  <si>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</si>
  <si>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</si>
  <si>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</si>
  <si>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</si>
  <si>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</si>
  <si>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</si>
  <si>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</si>
  <si>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</si>
  <si>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</si>
  <si>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</si>
  <si>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</si>
  <si>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</si>
  <si>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</si>
  <si>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</si>
  <si>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</si>
  <si>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</si>
  <si>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</si>
  <si>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</si>
  <si>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</si>
  <si>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</si>
  <si>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</si>
  <si>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</si>
  <si>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</si>
  <si>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</si>
  <si>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</si>
  <si>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</si>
  <si>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</si>
  <si>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</si>
  <si>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</si>
  <si>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</si>
  <si>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</si>
  <si>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</si>
  <si>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</si>
  <si>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</si>
  <si>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</si>
  <si>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</si>
  <si>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</si>
  <si>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</si>
  <si>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</si>
  <si>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</si>
  <si>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</si>
  <si>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</si>
  <si>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</si>
  <si>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</si>
  <si>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</si>
  <si>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</si>
  <si>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</si>
  <si>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</si>
  <si>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</si>
  <si>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</si>
  <si>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</si>
  <si>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</si>
  <si>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</si>
  <si>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</si>
  <si>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</si>
  <si>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</si>
  <si>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</si>
  <si>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</si>
  <si>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</si>
  <si>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</si>
  <si>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</si>
  <si>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</si>
  <si>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</si>
  <si>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</si>
  <si>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</si>
  <si>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</si>
  <si>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</si>
  <si>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</si>
  <si>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</si>
  <si>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</si>
  <si>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</si>
  <si>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</si>
  <si>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</si>
  <si>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</si>
  <si>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</si>
  <si>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</si>
  <si>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</si>
  <si>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</si>
  <si>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</si>
  <si>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</si>
  <si>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</si>
  <si>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</si>
  <si>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</si>
  <si>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</si>
  <si>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</si>
  <si>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</si>
  <si>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</si>
  <si>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</si>
  <si>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</si>
  <si>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</si>
  <si>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</si>
  <si>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</si>
  <si>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</si>
  <si>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</si>
  <si>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</si>
  <si>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</si>
  <si>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</si>
  <si>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</si>
  <si>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</si>
  <si>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</si>
  <si>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</si>
  <si>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</si>
  <si>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</si>
  <si>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</si>
  <si>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</si>
  <si>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</si>
  <si>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</si>
  <si>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</si>
  <si>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</si>
  <si>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</si>
  <si>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</si>
  <si>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</si>
  <si>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</si>
  <si>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</si>
  <si>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</si>
  <si>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</si>
  <si>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</si>
  <si>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</si>
  <si>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</si>
  <si>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</si>
  <si>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</si>
  <si>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</si>
  <si>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</si>
  <si>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</si>
  <si>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</si>
  <si>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</si>
  <si>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</si>
  <si>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</si>
  <si>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</si>
  <si>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</si>
  <si>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</si>
  <si>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</si>
  <si>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</si>
  <si>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</si>
  <si>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</si>
  <si>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</si>
  <si>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</si>
  <si>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</si>
  <si>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</si>
  <si>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</si>
  <si>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</si>
  <si>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</si>
  <si>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</si>
  <si>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</si>
  <si>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</si>
  <si>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</si>
  <si>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</si>
  <si>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</si>
  <si>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</si>
  <si>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</si>
  <si>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</si>
  <si>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</si>
  <si>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</si>
  <si>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</si>
  <si>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</si>
  <si>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</si>
  <si>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</si>
  <si>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</si>
  <si>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</si>
  <si>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</si>
  <si>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</si>
  <si>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</si>
  <si>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</si>
  <si>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</si>
  <si>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</si>
  <si>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</si>
  <si>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</si>
  <si>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</si>
  <si>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</si>
  <si>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</si>
  <si>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</si>
  <si>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</si>
  <si>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</si>
  <si>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</si>
  <si>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</si>
  <si>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</si>
  <si>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</si>
  <si>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</si>
  <si>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</si>
  <si>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</si>
  <si>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</si>
  <si>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</si>
  <si>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</si>
  <si>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</si>
  <si>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</si>
  <si>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</si>
  <si>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</si>
  <si>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</si>
  <si>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</si>
  <si>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</si>
  <si>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</si>
  <si>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</si>
  <si>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</si>
  <si>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</si>
  <si>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</si>
  <si>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</si>
  <si>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</si>
  <si>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</si>
  <si>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</si>
  <si>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</si>
  <si>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</si>
  <si>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</si>
  <si>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</si>
  <si>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</si>
  <si>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</si>
  <si>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</si>
  <si>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</si>
  <si>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</si>
  <si>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</si>
  <si>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</si>
  <si>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</si>
  <si>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</si>
  <si>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</si>
  <si>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</si>
  <si>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</si>
  <si>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</si>
  <si>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</si>
  <si>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</si>
  <si>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</si>
  <si>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</si>
  <si>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</si>
  <si>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</si>
  <si>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</si>
  <si>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</si>
  <si>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</si>
  <si>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</si>
  <si>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</si>
  <si>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</si>
  <si>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</si>
  <si>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</si>
  <si>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</si>
  <si>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</si>
  <si>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</si>
  <si>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</si>
  <si>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</si>
  <si>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</si>
  <si>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</si>
  <si>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</si>
  <si>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</si>
  <si>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</si>
  <si>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</si>
  <si>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</si>
  <si>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</si>
  <si>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</si>
  <si>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</si>
  <si>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</si>
  <si>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</si>
  <si>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</si>
  <si>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</si>
  <si>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</si>
  <si>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</si>
  <si>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</si>
  <si>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</si>
  <si>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</si>
  <si>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</si>
  <si>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</si>
  <si>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</si>
  <si>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</si>
  <si>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</si>
  <si>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</si>
  <si>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</si>
  <si>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</si>
  <si>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</si>
  <si>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</si>
  <si>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</si>
  <si>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</si>
  <si>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</si>
  <si>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</si>
  <si>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</si>
  <si>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</si>
  <si>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</si>
  <si>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</si>
  <si>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</si>
  <si>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</si>
  <si>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</si>
  <si>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</si>
  <si>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</si>
  <si>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</si>
  <si>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</si>
  <si>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</si>
  <si>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</si>
  <si>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</si>
  <si>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</si>
  <si>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</si>
  <si>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</si>
  <si>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</si>
  <si>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</si>
  <si>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</si>
  <si>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</si>
  <si>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</si>
  <si>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</si>
  <si>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сент-окт</t>
  </si>
  <si>
    <t xml:space="preserve">10а доп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</si>
  <si>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</si>
  <si>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</si>
  <si>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</si>
  <si>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</si>
  <si>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000685</t>
  </si>
  <si>
    <t xml:space="preserve">Алтун Эмир Байрамович                             </t>
  </si>
  <si>
    <t xml:space="preserve">6б доп              </t>
  </si>
  <si>
    <t>000686</t>
  </si>
  <si>
    <t xml:space="preserve">Аляутдинов Али Ильдарович                         </t>
  </si>
  <si>
    <t>000687</t>
  </si>
  <si>
    <t xml:space="preserve">Ахметов Саид Ильназович                           </t>
  </si>
  <si>
    <t>000688</t>
  </si>
  <si>
    <t xml:space="preserve">Белов Артур Леонидович                            </t>
  </si>
  <si>
    <t>000689</t>
  </si>
  <si>
    <t xml:space="preserve">Валитов Амир Альбертович                          </t>
  </si>
  <si>
    <t>000836</t>
  </si>
  <si>
    <t xml:space="preserve">Измайлов Имран Раисович                           </t>
  </si>
  <si>
    <t>000691</t>
  </si>
  <si>
    <t xml:space="preserve">Картузов Денис Григорьевич                        </t>
  </si>
  <si>
    <t>000692</t>
  </si>
  <si>
    <t xml:space="preserve">Коклин Даниил Вадимович                           </t>
  </si>
  <si>
    <t>000693</t>
  </si>
  <si>
    <t xml:space="preserve">Лутфрахманов Керим Айратович                      </t>
  </si>
  <si>
    <t>000694</t>
  </si>
  <si>
    <t xml:space="preserve">Мирзакаримов Ярамир Шухратович                    </t>
  </si>
  <si>
    <t>000695</t>
  </si>
  <si>
    <t xml:space="preserve">Мифтахов Рашид Ренатович                          </t>
  </si>
  <si>
    <t>000696</t>
  </si>
  <si>
    <t xml:space="preserve">Мухаметов Булат Айратович                         </t>
  </si>
  <si>
    <t>000697</t>
  </si>
  <si>
    <t xml:space="preserve">Наумов Ансар Альбертович                          </t>
  </si>
  <si>
    <t>000698</t>
  </si>
  <si>
    <t xml:space="preserve">Рахимов Адель Айратович                           </t>
  </si>
  <si>
    <t>000699</t>
  </si>
  <si>
    <t xml:space="preserve">Сафаров Карим Ринатович                           </t>
  </si>
  <si>
    <t>000700</t>
  </si>
  <si>
    <t xml:space="preserve">Сафин Камиль Ранисович                            </t>
  </si>
  <si>
    <t>000701</t>
  </si>
  <si>
    <t xml:space="preserve">Файрушин Амиль Айратович                          </t>
  </si>
  <si>
    <t>000702</t>
  </si>
  <si>
    <t xml:space="preserve">Хайруллин Амир Айдарович                          </t>
  </si>
  <si>
    <t>000703</t>
  </si>
  <si>
    <t xml:space="preserve">Хайруллин Амирхан Булатович                       </t>
  </si>
  <si>
    <t>000706</t>
  </si>
  <si>
    <t xml:space="preserve">Шайхутдинов Рамазан Эдуардович                    </t>
  </si>
  <si>
    <t>000707</t>
  </si>
  <si>
    <t xml:space="preserve">Юсубов Ибрахим Робилевич                          </t>
  </si>
  <si>
    <t>000708</t>
  </si>
  <si>
    <t xml:space="preserve">Яхин Ринат Рустемович                             </t>
  </si>
  <si>
    <t>Сумма: 5700 руб. 00 коп.</t>
  </si>
  <si>
    <t>000704</t>
  </si>
  <si>
    <t xml:space="preserve">Хаматвалеев Амир Азатович                         </t>
  </si>
  <si>
    <t>Сумма: 11400 руб. 00 коп.</t>
  </si>
  <si>
    <t>Сумма: 17100 руб. 00 коп.</t>
  </si>
  <si>
    <t>февр</t>
  </si>
  <si>
    <t>6б доп февр</t>
  </si>
  <si>
    <t>ЛС: 000685; ФИО обучающегося: Алтун Эмир Байрамович                             ; Назначение: 6б доп февр; КБК: 82100000000000000131; ОКТМО: 92701000</t>
  </si>
  <si>
    <t>ЛС: 000686; ФИО обучающегося: Аляутдинов Али Ильдарович                         ; Назначение: 6б доп февр; КБК: 82100000000000000131; ОКТМО: 92701000</t>
  </si>
  <si>
    <t>ЛС: 000687; ФИО обучающегося: Ахметов Саид Ильназович                           ; Назначение: 6б доп февр; КБК: 82100000000000000131; ОКТМО: 92701000</t>
  </si>
  <si>
    <t>Сумма: 7100 руб. 00 коп.</t>
  </si>
  <si>
    <t>ЛС: 000688; ФИО обучающегося: Белов Артур Леонидович                            ; Назначение: 6б доп февр; КБК: 82100000000000000131; ОКТМО: 92701000</t>
  </si>
  <si>
    <t>ЛС: 000689; ФИО обучающегося: Валитов Амир Альбертович                          ; Назначение: 6б доп февр; КБК: 82100000000000000131; ОКТМО: 92701000</t>
  </si>
  <si>
    <t>ЛС: 000836; ФИО обучающегося: Измайлов Имран Раисович                           ; Назначение: 6б доп февр; КБК: 82100000000000000131; ОКТМО: 92701000</t>
  </si>
  <si>
    <t>ЛС: 000691; ФИО обучающегося: Картузов Денис Григорьевич                        ; Назначение: 6б доп февр; КБК: 82100000000000000131; ОКТМО: 92701000</t>
  </si>
  <si>
    <t>ЛС: 000692; ФИО обучающегося: Коклин Даниил Вадимович                           ; Назначение: 6б доп февр; КБК: 82100000000000000131; ОКТМО: 92701000</t>
  </si>
  <si>
    <t>ЛС: 000693; ФИО обучающегося: Лутфрахманов Керим Айратович                      ; Назначение: 6б доп февр; КБК: 82100000000000000131; ОКТМО: 92701000</t>
  </si>
  <si>
    <t>ЛС: 000694; ФИО обучающегося: Мирзакаримов Ярамир Шухратович                    ; Назначение: 6б доп февр; КБК: 82100000000000000131; ОКТМО: 92701000</t>
  </si>
  <si>
    <t>ЛС: 000695; ФИО обучающегося: Мифтахов Рашид Ренатович                          ; Назначение: 6б доп февр; КБК: 82100000000000000131; ОКТМО: 92701000</t>
  </si>
  <si>
    <t>ЛС: 000696; ФИО обучающегося: Мухаметов Булат Айратович                         ; Назначение: 6б доп февр; КБК: 82100000000000000131; ОКТМО: 92701000</t>
  </si>
  <si>
    <t>ЛС: 000697; ФИО обучающегося: Наумов Ансар Альбертович                          ; Назначение: 6б доп февр; КБК: 82100000000000000131; ОКТМО: 92701000</t>
  </si>
  <si>
    <t>ЛС: 000698; ФИО обучающегося: Рахимов Адель Айратович                           ; Назначение: 6б доп февр; КБК: 82100000000000000131; ОКТМО: 92701000</t>
  </si>
  <si>
    <t>ЛС: 000699; ФИО обучающегося: Сафаров Карим Ринатович                           ; Назначение: 6б доп февр; КБК: 82100000000000000131; ОКТМО: 92701000</t>
  </si>
  <si>
    <t>Сумма: 9200 руб. 00 коп.</t>
  </si>
  <si>
    <t>ЛС: 000700; ФИО обучающегося: Сафин Камиль Ранисович                            ; Назначение: 6б доп февр; КБК: 82100000000000000131; ОКТМО: 92701000</t>
  </si>
  <si>
    <t>Сумма: 22800 руб. 00 коп.</t>
  </si>
  <si>
    <t>ЛС: 000701; ФИО обучающегося: Файрушин Амиль Айратович                          ; Назначение: 6б доп февр; КБК: 82100000000000000131; ОКТМО: 92701000</t>
  </si>
  <si>
    <t>ЛС: 000702; ФИО обучающегося: Хайруллин Амир Айдарович                          ; Назначение: 6б доп февр; КБК: 82100000000000000131; ОКТМО: 92701000</t>
  </si>
  <si>
    <t>ЛС: 000703; ФИО обучающегося: Хайруллин Амирхан Булатович                       ; Назначение: 6б доп февр; КБК: 82100000000000000131; ОКТМО: 92701000</t>
  </si>
  <si>
    <t>ЛС: 000704; ФИО обучающегося: Хаматвалеев Амир Азатович                         ; Назначение: 6б доп февр; КБК: 82100000000000000131; ОКТМО: 92701000</t>
  </si>
  <si>
    <t>Сумма: 14400 руб. 00 коп.</t>
  </si>
  <si>
    <t>ЛС: 000706; ФИО обучающегося: Шайхутдинов Рамазан Эдуардович                    ; Назначение: 6б доп февр; КБК: 82100000000000000131; ОКТМО: 92701000</t>
  </si>
  <si>
    <t>ЛС: 000707; ФИО обучающегося: Юсубов Ибрахим Робилевич                          ; Назначение: 6б доп февр; КБК: 82100000000000000131; ОКТМО: 92701000</t>
  </si>
  <si>
    <t>ЛС: 000708; ФИО обучающегося: Яхин Ринат Рустемович                             ; Назначение: 6б доп февр; КБК: 82100000000000000131; ОКТМО: 92701000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</si>
</sst>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9" headerRowDxfId="23" dataDxfId="0" totalsRowDxfId="20" headerRowBorderDxfId="22" tableBorderDxfId="21">
  <autoFilter ref="A6:H29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4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403</v>
      </c>
      <c r="B2" s="92" t="s">
        <v>404</v>
      </c>
      <c r="C2" s="92" t="s">
        <v>405</v>
      </c>
      <c r="D2" s="92" t="s">
        <v>453</v>
      </c>
      <c r="E2" s="93">
        <v>5700</v>
      </c>
      <c r="F2" s="98" t="str">
        <f>TRIM(A2)</f>
        <v>000685</v>
      </c>
      <c r="G2" s="31" t="str">
        <f t="shared" ref="G2:G46" si="0">B2</f>
        <v xml:space="preserve">Алтун Эмир Байрамович                             </v>
      </c>
      <c r="H2" s="31" t="str">
        <f>CONCATENATE(TRIM(C2)," ",D2)</f>
        <v>6б доп февр</v>
      </c>
      <c r="I2" s="94" t="s">
        <v>396</v>
      </c>
      <c r="J2" s="31">
        <v>92701000</v>
      </c>
      <c r="M2" s="31">
        <f t="shared" ref="M2:M63" si="1">E2</f>
        <v>5700</v>
      </c>
    </row>
    <row r="3" spans="1:13" x14ac:dyDescent="0.25">
      <c r="A3" s="92" t="s">
        <v>406</v>
      </c>
      <c r="B3" s="92" t="s">
        <v>407</v>
      </c>
      <c r="C3" s="92" t="s">
        <v>405</v>
      </c>
      <c r="D3" s="92" t="s">
        <v>453</v>
      </c>
      <c r="E3" s="93">
        <v>11400</v>
      </c>
      <c r="F3" s="98" t="str">
        <f t="shared" ref="F3:F66" si="2">TRIM(A3)</f>
        <v>000686</v>
      </c>
      <c r="G3" s="31" t="str">
        <f t="shared" si="0"/>
        <v xml:space="preserve">Аляутдинов Али Ильдарович                         </v>
      </c>
      <c r="H3" s="31" t="str">
        <f t="shared" ref="H3:H66" si="3">CONCATENATE(TRIM(C3)," ",D3)</f>
        <v>6б доп февр</v>
      </c>
      <c r="I3" s="94" t="s">
        <v>396</v>
      </c>
      <c r="J3" s="31">
        <v>92701000</v>
      </c>
      <c r="M3" s="31">
        <f t="shared" si="1"/>
        <v>11400</v>
      </c>
    </row>
    <row r="4" spans="1:13" x14ac:dyDescent="0.25">
      <c r="A4" s="92" t="s">
        <v>408</v>
      </c>
      <c r="B4" s="92" t="s">
        <v>409</v>
      </c>
      <c r="C4" s="92" t="s">
        <v>405</v>
      </c>
      <c r="D4" s="92" t="s">
        <v>453</v>
      </c>
      <c r="E4" s="93">
        <v>7100</v>
      </c>
      <c r="F4" s="98" t="str">
        <f t="shared" si="2"/>
        <v>000687</v>
      </c>
      <c r="G4" s="31" t="str">
        <f t="shared" si="0"/>
        <v xml:space="preserve">Ахметов Саид Ильназович                           </v>
      </c>
      <c r="H4" s="31" t="str">
        <f t="shared" si="3"/>
        <v>6б доп февр</v>
      </c>
      <c r="I4" s="94" t="s">
        <v>396</v>
      </c>
      <c r="J4" s="31">
        <v>92701000</v>
      </c>
      <c r="M4" s="31">
        <f t="shared" si="1"/>
        <v>7100</v>
      </c>
    </row>
    <row r="5" spans="1:13" x14ac:dyDescent="0.25">
      <c r="A5" s="92" t="s">
        <v>410</v>
      </c>
      <c r="B5" s="92" t="s">
        <v>411</v>
      </c>
      <c r="C5" s="92" t="s">
        <v>405</v>
      </c>
      <c r="D5" s="92" t="s">
        <v>453</v>
      </c>
      <c r="E5" s="93">
        <v>11400</v>
      </c>
      <c r="F5" s="98" t="str">
        <f t="shared" si="2"/>
        <v>000688</v>
      </c>
      <c r="G5" s="31" t="str">
        <f t="shared" si="0"/>
        <v xml:space="preserve">Белов Артур Леонидович                            </v>
      </c>
      <c r="H5" s="31" t="str">
        <f t="shared" si="3"/>
        <v>6б доп февр</v>
      </c>
      <c r="I5" s="94" t="s">
        <v>396</v>
      </c>
      <c r="J5" s="31">
        <v>92701000</v>
      </c>
      <c r="M5" s="31">
        <f t="shared" si="1"/>
        <v>11400</v>
      </c>
    </row>
    <row r="6" spans="1:13" x14ac:dyDescent="0.25">
      <c r="A6" s="92" t="s">
        <v>412</v>
      </c>
      <c r="B6" s="92" t="s">
        <v>413</v>
      </c>
      <c r="C6" s="92" t="s">
        <v>405</v>
      </c>
      <c r="D6" s="92" t="s">
        <v>453</v>
      </c>
      <c r="E6" s="93">
        <v>5700</v>
      </c>
      <c r="F6" s="98" t="str">
        <f t="shared" si="2"/>
        <v>000689</v>
      </c>
      <c r="G6" s="31" t="str">
        <f t="shared" si="0"/>
        <v xml:space="preserve">Валитов Амир Альбертович                          </v>
      </c>
      <c r="H6" s="31" t="str">
        <f t="shared" si="3"/>
        <v>6б доп февр</v>
      </c>
      <c r="I6" s="94" t="s">
        <v>396</v>
      </c>
      <c r="J6" s="31">
        <v>92701000</v>
      </c>
      <c r="M6" s="31">
        <f t="shared" si="1"/>
        <v>5700</v>
      </c>
    </row>
    <row r="7" spans="1:13" x14ac:dyDescent="0.25">
      <c r="A7" s="92" t="s">
        <v>414</v>
      </c>
      <c r="B7" s="92" t="s">
        <v>415</v>
      </c>
      <c r="C7" s="92" t="s">
        <v>405</v>
      </c>
      <c r="D7" s="92" t="s">
        <v>453</v>
      </c>
      <c r="E7" s="93">
        <v>5700</v>
      </c>
      <c r="F7" s="98" t="str">
        <f t="shared" si="2"/>
        <v>000836</v>
      </c>
      <c r="G7" s="31" t="str">
        <f t="shared" si="0"/>
        <v xml:space="preserve">Измайлов Имран Раисович                           </v>
      </c>
      <c r="H7" s="31" t="str">
        <f t="shared" si="3"/>
        <v>6б доп февр</v>
      </c>
      <c r="I7" s="94" t="s">
        <v>396</v>
      </c>
      <c r="J7" s="31">
        <v>92701000</v>
      </c>
      <c r="M7" s="31">
        <f t="shared" si="1"/>
        <v>5700</v>
      </c>
    </row>
    <row r="8" spans="1:13" x14ac:dyDescent="0.25">
      <c r="A8" s="92" t="s">
        <v>416</v>
      </c>
      <c r="B8" s="92" t="s">
        <v>417</v>
      </c>
      <c r="C8" s="92" t="s">
        <v>405</v>
      </c>
      <c r="D8" s="92" t="s">
        <v>453</v>
      </c>
      <c r="E8" s="93">
        <v>5700</v>
      </c>
      <c r="F8" s="98" t="str">
        <f t="shared" si="2"/>
        <v>000691</v>
      </c>
      <c r="G8" s="31" t="str">
        <f t="shared" si="0"/>
        <v xml:space="preserve">Картузов Денис Григорьевич                        </v>
      </c>
      <c r="H8" s="31" t="str">
        <f t="shared" si="3"/>
        <v>6б доп февр</v>
      </c>
      <c r="I8" s="94" t="s">
        <v>396</v>
      </c>
      <c r="J8" s="31">
        <v>92701000</v>
      </c>
      <c r="M8" s="31">
        <f t="shared" si="1"/>
        <v>5700</v>
      </c>
    </row>
    <row r="9" spans="1:13" x14ac:dyDescent="0.25">
      <c r="A9" s="92" t="s">
        <v>418</v>
      </c>
      <c r="B9" s="92" t="s">
        <v>419</v>
      </c>
      <c r="C9" s="92" t="s">
        <v>405</v>
      </c>
      <c r="D9" s="92" t="s">
        <v>453</v>
      </c>
      <c r="E9" s="93">
        <v>17100</v>
      </c>
      <c r="F9" s="98" t="str">
        <f t="shared" si="2"/>
        <v>000692</v>
      </c>
      <c r="G9" s="31" t="str">
        <f t="shared" si="0"/>
        <v xml:space="preserve">Коклин Даниил Вадимович                           </v>
      </c>
      <c r="H9" s="31" t="str">
        <f t="shared" si="3"/>
        <v>6б доп февр</v>
      </c>
      <c r="I9" s="94" t="s">
        <v>396</v>
      </c>
      <c r="J9" s="31">
        <v>92701000</v>
      </c>
      <c r="M9" s="31">
        <f t="shared" si="1"/>
        <v>17100</v>
      </c>
    </row>
    <row r="10" spans="1:13" x14ac:dyDescent="0.25">
      <c r="A10" s="92" t="s">
        <v>420</v>
      </c>
      <c r="B10" s="92" t="s">
        <v>421</v>
      </c>
      <c r="C10" s="92" t="s">
        <v>405</v>
      </c>
      <c r="D10" s="92" t="s">
        <v>453</v>
      </c>
      <c r="E10" s="93">
        <v>17100</v>
      </c>
      <c r="F10" s="98" t="str">
        <f t="shared" si="2"/>
        <v>000693</v>
      </c>
      <c r="G10" s="31" t="str">
        <f t="shared" si="0"/>
        <v xml:space="preserve">Лутфрахманов Керим Айратович                      </v>
      </c>
      <c r="H10" s="31" t="str">
        <f t="shared" si="3"/>
        <v>6б доп февр</v>
      </c>
      <c r="I10" s="94" t="s">
        <v>396</v>
      </c>
      <c r="J10" s="31">
        <v>92701000</v>
      </c>
      <c r="M10" s="31">
        <f t="shared" si="1"/>
        <v>17100</v>
      </c>
    </row>
    <row r="11" spans="1:13" x14ac:dyDescent="0.25">
      <c r="A11" s="92" t="s">
        <v>422</v>
      </c>
      <c r="B11" s="92" t="s">
        <v>423</v>
      </c>
      <c r="C11" s="92" t="s">
        <v>405</v>
      </c>
      <c r="D11" s="92" t="s">
        <v>453</v>
      </c>
      <c r="E11" s="93">
        <v>5700</v>
      </c>
      <c r="F11" s="98" t="str">
        <f t="shared" si="2"/>
        <v>000694</v>
      </c>
      <c r="G11" s="31" t="str">
        <f t="shared" si="0"/>
        <v xml:space="preserve">Мирзакаримов Ярамир Шухратович                    </v>
      </c>
      <c r="H11" s="31" t="str">
        <f t="shared" si="3"/>
        <v>6б доп февр</v>
      </c>
      <c r="I11" s="94" t="s">
        <v>396</v>
      </c>
      <c r="J11" s="31">
        <v>92701000</v>
      </c>
      <c r="M11" s="31">
        <f t="shared" si="1"/>
        <v>5700</v>
      </c>
    </row>
    <row r="12" spans="1:13" x14ac:dyDescent="0.25">
      <c r="A12" s="92" t="s">
        <v>424</v>
      </c>
      <c r="B12" s="92" t="s">
        <v>425</v>
      </c>
      <c r="C12" s="92" t="s">
        <v>405</v>
      </c>
      <c r="D12" s="92" t="s">
        <v>453</v>
      </c>
      <c r="E12" s="93">
        <v>5700</v>
      </c>
      <c r="F12" s="98" t="str">
        <f t="shared" si="2"/>
        <v>000695</v>
      </c>
      <c r="G12" s="31" t="str">
        <f t="shared" si="0"/>
        <v xml:space="preserve">Мифтахов Рашид Ренатович                          </v>
      </c>
      <c r="H12" s="31" t="str">
        <f t="shared" si="3"/>
        <v>6б доп февр</v>
      </c>
      <c r="I12" s="94" t="s">
        <v>396</v>
      </c>
      <c r="J12" s="31">
        <v>92701000</v>
      </c>
      <c r="M12" s="31">
        <f t="shared" si="1"/>
        <v>5700</v>
      </c>
    </row>
    <row r="13" spans="1:13" x14ac:dyDescent="0.25">
      <c r="A13" s="92" t="s">
        <v>426</v>
      </c>
      <c r="B13" s="92" t="s">
        <v>427</v>
      </c>
      <c r="C13" s="92" t="s">
        <v>405</v>
      </c>
      <c r="D13" s="92" t="s">
        <v>453</v>
      </c>
      <c r="E13" s="93">
        <v>5700</v>
      </c>
      <c r="F13" s="98" t="str">
        <f t="shared" si="2"/>
        <v>000696</v>
      </c>
      <c r="G13" s="31" t="str">
        <f t="shared" si="0"/>
        <v xml:space="preserve">Мухаметов Булат Айратович                         </v>
      </c>
      <c r="H13" s="31" t="str">
        <f t="shared" si="3"/>
        <v>6б доп февр</v>
      </c>
      <c r="I13" s="94" t="s">
        <v>396</v>
      </c>
      <c r="J13" s="31">
        <v>92701000</v>
      </c>
      <c r="M13" s="31">
        <f t="shared" si="1"/>
        <v>5700</v>
      </c>
    </row>
    <row r="14" spans="1:13" x14ac:dyDescent="0.25">
      <c r="A14" s="92" t="s">
        <v>428</v>
      </c>
      <c r="B14" s="92" t="s">
        <v>429</v>
      </c>
      <c r="C14" s="92" t="s">
        <v>405</v>
      </c>
      <c r="D14" s="92" t="s">
        <v>453</v>
      </c>
      <c r="E14" s="93">
        <v>5700</v>
      </c>
      <c r="F14" s="98" t="str">
        <f t="shared" si="2"/>
        <v>000697</v>
      </c>
      <c r="G14" s="31" t="str">
        <f t="shared" si="0"/>
        <v xml:space="preserve">Наумов Ансар Альбертович                          </v>
      </c>
      <c r="H14" s="31" t="str">
        <f t="shared" si="3"/>
        <v>6б доп февр</v>
      </c>
      <c r="I14" s="94" t="s">
        <v>396</v>
      </c>
      <c r="J14" s="31">
        <v>92701000</v>
      </c>
      <c r="M14" s="31">
        <f t="shared" si="1"/>
        <v>5700</v>
      </c>
    </row>
    <row r="15" spans="1:13" x14ac:dyDescent="0.25">
      <c r="A15" s="92" t="s">
        <v>430</v>
      </c>
      <c r="B15" s="92" t="s">
        <v>431</v>
      </c>
      <c r="C15" s="92" t="s">
        <v>405</v>
      </c>
      <c r="D15" s="92" t="s">
        <v>453</v>
      </c>
      <c r="E15" s="93">
        <v>17100</v>
      </c>
      <c r="F15" s="98" t="str">
        <f t="shared" si="2"/>
        <v>000698</v>
      </c>
      <c r="G15" s="31" t="str">
        <f t="shared" si="0"/>
        <v xml:space="preserve">Рахимов Адель Айратович                           </v>
      </c>
      <c r="H15" s="31" t="str">
        <f t="shared" si="3"/>
        <v>6б доп февр</v>
      </c>
      <c r="I15" s="94" t="s">
        <v>396</v>
      </c>
      <c r="J15" s="31">
        <v>92701000</v>
      </c>
      <c r="M15" s="31">
        <f t="shared" si="1"/>
        <v>17100</v>
      </c>
    </row>
    <row r="16" spans="1:13" x14ac:dyDescent="0.25">
      <c r="A16" s="92" t="s">
        <v>432</v>
      </c>
      <c r="B16" s="92" t="s">
        <v>433</v>
      </c>
      <c r="C16" s="92" t="s">
        <v>405</v>
      </c>
      <c r="D16" s="92" t="s">
        <v>453</v>
      </c>
      <c r="E16" s="93">
        <v>9200</v>
      </c>
      <c r="F16" s="98" t="str">
        <f t="shared" si="2"/>
        <v>000699</v>
      </c>
      <c r="G16" s="31" t="str">
        <f t="shared" si="0"/>
        <v xml:space="preserve">Сафаров Карим Ринатович                           </v>
      </c>
      <c r="H16" s="31" t="str">
        <f t="shared" si="3"/>
        <v>6б доп февр</v>
      </c>
      <c r="I16" s="94" t="s">
        <v>396</v>
      </c>
      <c r="J16" s="31">
        <v>92701000</v>
      </c>
      <c r="M16" s="31">
        <f t="shared" si="1"/>
        <v>9200</v>
      </c>
    </row>
    <row r="17" spans="1:13" x14ac:dyDescent="0.25">
      <c r="A17" s="92" t="s">
        <v>434</v>
      </c>
      <c r="B17" s="92" t="s">
        <v>435</v>
      </c>
      <c r="C17" s="92" t="s">
        <v>405</v>
      </c>
      <c r="D17" s="92" t="s">
        <v>453</v>
      </c>
      <c r="E17" s="93">
        <v>22800</v>
      </c>
      <c r="F17" s="98" t="str">
        <f t="shared" si="2"/>
        <v>000700</v>
      </c>
      <c r="G17" s="31" t="str">
        <f t="shared" si="0"/>
        <v xml:space="preserve">Сафин Камиль Ранисович                            </v>
      </c>
      <c r="H17" s="31" t="str">
        <f t="shared" si="3"/>
        <v>6б доп февр</v>
      </c>
      <c r="I17" s="94" t="s">
        <v>396</v>
      </c>
      <c r="J17" s="31">
        <v>92701000</v>
      </c>
      <c r="M17" s="31">
        <f t="shared" si="1"/>
        <v>22800</v>
      </c>
    </row>
    <row r="18" spans="1:13" x14ac:dyDescent="0.25">
      <c r="A18" s="92" t="s">
        <v>436</v>
      </c>
      <c r="B18" s="92" t="s">
        <v>437</v>
      </c>
      <c r="C18" s="92" t="s">
        <v>405</v>
      </c>
      <c r="D18" s="92" t="s">
        <v>453</v>
      </c>
      <c r="E18" s="93">
        <v>5700</v>
      </c>
      <c r="F18" s="98" t="str">
        <f t="shared" si="2"/>
        <v>000701</v>
      </c>
      <c r="G18" s="31" t="str">
        <f t="shared" si="0"/>
        <v xml:space="preserve">Файрушин Амиль Айратович                          </v>
      </c>
      <c r="H18" s="31" t="str">
        <f t="shared" si="3"/>
        <v>6б доп февр</v>
      </c>
      <c r="I18" s="94" t="s">
        <v>396</v>
      </c>
      <c r="J18" s="31">
        <v>92701000</v>
      </c>
      <c r="M18" s="31">
        <f t="shared" si="1"/>
        <v>5700</v>
      </c>
    </row>
    <row r="19" spans="1:13" x14ac:dyDescent="0.25">
      <c r="A19" s="92" t="s">
        <v>438</v>
      </c>
      <c r="B19" s="92" t="s">
        <v>439</v>
      </c>
      <c r="C19" s="92" t="s">
        <v>405</v>
      </c>
      <c r="D19" s="92" t="s">
        <v>453</v>
      </c>
      <c r="E19" s="93">
        <v>5700</v>
      </c>
      <c r="F19" s="98" t="str">
        <f t="shared" si="2"/>
        <v>000702</v>
      </c>
      <c r="G19" s="31" t="str">
        <f t="shared" si="0"/>
        <v xml:space="preserve">Хайруллин Амир Айдарович                          </v>
      </c>
      <c r="H19" s="31" t="str">
        <f t="shared" si="3"/>
        <v>6б доп февр</v>
      </c>
      <c r="I19" s="94" t="s">
        <v>396</v>
      </c>
      <c r="J19" s="31">
        <v>92701000</v>
      </c>
      <c r="M19" s="31">
        <f t="shared" si="1"/>
        <v>5700</v>
      </c>
    </row>
    <row r="20" spans="1:13" x14ac:dyDescent="0.25">
      <c r="A20" s="92" t="s">
        <v>440</v>
      </c>
      <c r="B20" s="92" t="s">
        <v>441</v>
      </c>
      <c r="C20" s="92" t="s">
        <v>405</v>
      </c>
      <c r="D20" s="92" t="s">
        <v>453</v>
      </c>
      <c r="E20" s="93">
        <v>5700</v>
      </c>
      <c r="F20" s="98" t="str">
        <f t="shared" si="2"/>
        <v>000703</v>
      </c>
      <c r="G20" s="31" t="str">
        <f t="shared" si="0"/>
        <v xml:space="preserve">Хайруллин Амирхан Булатович                       </v>
      </c>
      <c r="H20" s="31" t="str">
        <f t="shared" si="3"/>
        <v>6б доп февр</v>
      </c>
      <c r="I20" s="94" t="s">
        <v>396</v>
      </c>
      <c r="J20" s="31">
        <v>92701000</v>
      </c>
      <c r="M20" s="31">
        <f t="shared" si="1"/>
        <v>5700</v>
      </c>
    </row>
    <row r="21" spans="1:13" x14ac:dyDescent="0.25">
      <c r="A21" s="92" t="s">
        <v>449</v>
      </c>
      <c r="B21" s="92" t="s">
        <v>450</v>
      </c>
      <c r="C21" s="92" t="s">
        <v>405</v>
      </c>
      <c r="D21" s="92" t="s">
        <v>453</v>
      </c>
      <c r="E21" s="93">
        <v>14400</v>
      </c>
      <c r="F21" s="98" t="str">
        <f t="shared" si="2"/>
        <v>000704</v>
      </c>
      <c r="G21" s="31" t="str">
        <f t="shared" si="0"/>
        <v xml:space="preserve">Хаматвалеев Амир Азатович                         </v>
      </c>
      <c r="H21" s="31" t="str">
        <f t="shared" si="3"/>
        <v>6б доп февр</v>
      </c>
      <c r="I21" s="94" t="s">
        <v>396</v>
      </c>
      <c r="J21" s="31">
        <v>92701000</v>
      </c>
      <c r="M21" s="31">
        <f t="shared" si="1"/>
        <v>14400</v>
      </c>
    </row>
    <row r="22" spans="1:13" x14ac:dyDescent="0.25">
      <c r="A22" s="92" t="s">
        <v>442</v>
      </c>
      <c r="B22" s="92" t="s">
        <v>443</v>
      </c>
      <c r="C22" s="92" t="s">
        <v>405</v>
      </c>
      <c r="D22" s="92" t="s">
        <v>453</v>
      </c>
      <c r="E22" s="93">
        <v>5700</v>
      </c>
      <c r="F22" s="98" t="str">
        <f t="shared" si="2"/>
        <v>000706</v>
      </c>
      <c r="G22" s="31" t="str">
        <f t="shared" si="0"/>
        <v xml:space="preserve">Шайхутдинов Рамазан Эдуардович                    </v>
      </c>
      <c r="H22" s="31" t="str">
        <f t="shared" si="3"/>
        <v>6б доп февр</v>
      </c>
      <c r="I22" s="94" t="s">
        <v>396</v>
      </c>
      <c r="J22" s="31">
        <v>92701000</v>
      </c>
      <c r="M22" s="31">
        <f t="shared" si="1"/>
        <v>5700</v>
      </c>
    </row>
    <row r="23" spans="1:13" x14ac:dyDescent="0.25">
      <c r="A23" s="92" t="s">
        <v>444</v>
      </c>
      <c r="B23" s="92" t="s">
        <v>445</v>
      </c>
      <c r="C23" s="92" t="s">
        <v>405</v>
      </c>
      <c r="D23" s="92" t="s">
        <v>453</v>
      </c>
      <c r="E23" s="93">
        <v>5700</v>
      </c>
      <c r="F23" s="98" t="str">
        <f t="shared" si="2"/>
        <v>000707</v>
      </c>
      <c r="G23" s="31" t="str">
        <f t="shared" si="0"/>
        <v xml:space="preserve">Юсубов Ибрахим Робилевич                          </v>
      </c>
      <c r="H23" s="31" t="str">
        <f t="shared" si="3"/>
        <v>6б доп февр</v>
      </c>
      <c r="I23" s="94" t="s">
        <v>396</v>
      </c>
      <c r="J23" s="31">
        <v>92701000</v>
      </c>
      <c r="M23" s="31">
        <f t="shared" si="1"/>
        <v>5700</v>
      </c>
    </row>
    <row r="24" spans="1:13" x14ac:dyDescent="0.25">
      <c r="A24" s="92" t="s">
        <v>446</v>
      </c>
      <c r="B24" s="92" t="s">
        <v>447</v>
      </c>
      <c r="C24" s="92" t="s">
        <v>405</v>
      </c>
      <c r="D24" s="92" t="s">
        <v>453</v>
      </c>
      <c r="E24" s="93">
        <v>5700</v>
      </c>
      <c r="F24" s="98" t="str">
        <f t="shared" si="2"/>
        <v>000708</v>
      </c>
      <c r="G24" s="31" t="str">
        <f t="shared" si="0"/>
        <v xml:space="preserve">Яхин Ринат Рустемович                             </v>
      </c>
      <c r="H24" s="31" t="str">
        <f t="shared" si="3"/>
        <v>6б доп февр</v>
      </c>
      <c r="I24" s="94" t="s">
        <v>396</v>
      </c>
      <c r="J24" s="31">
        <v>92701000</v>
      </c>
      <c r="M24" s="31">
        <f t="shared" si="1"/>
        <v>5700</v>
      </c>
    </row>
    <row r="25" spans="1:13" x14ac:dyDescent="0.25">
      <c r="A25" s="92" t="s">
        <v>399</v>
      </c>
      <c r="B25" s="92" t="s">
        <v>400</v>
      </c>
      <c r="C25" s="92" t="s">
        <v>398</v>
      </c>
      <c r="D25" s="92" t="s">
        <v>397</v>
      </c>
      <c r="E25" s="93">
        <v>3814.58</v>
      </c>
      <c r="F25" s="98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сент-окт</v>
      </c>
      <c r="I25" s="94" t="s">
        <v>396</v>
      </c>
      <c r="J25" s="31">
        <v>92701000</v>
      </c>
      <c r="M25" s="31">
        <f t="shared" si="1"/>
        <v>3814.58</v>
      </c>
    </row>
    <row r="26" spans="1:13" x14ac:dyDescent="0.25">
      <c r="A26" s="92" t="s">
        <v>401</v>
      </c>
      <c r="B26" s="92" t="s">
        <v>402</v>
      </c>
      <c r="C26" s="92" t="s">
        <v>398</v>
      </c>
      <c r="D26" s="92" t="s">
        <v>397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396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9"/>
  <sheetViews>
    <sheetView workbookViewId="0">
      <pane ySplit="6" topLeftCell="A7" activePane="bottomLeft" state="frozen"/>
      <selection activeCell="A2" sqref="A2"/>
      <selection pane="bottomLeft" activeCell="A7" sqref="A7:H29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1657032924_03234643927010001100__21.02.2023.TXT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207400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23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403</v>
      </c>
      <c r="B7" s="84" t="s">
        <v>404</v>
      </c>
      <c r="C7" s="84" t="s">
        <v>454</v>
      </c>
      <c r="D7" s="84" t="s">
        <v>396</v>
      </c>
      <c r="E7" s="87">
        <v>92701000</v>
      </c>
      <c r="F7" s="84"/>
      <c r="G7" s="84"/>
      <c r="H7" s="86">
        <v>5700</v>
      </c>
    </row>
    <row r="8" spans="1:8" x14ac:dyDescent="0.25">
      <c r="A8" s="95" t="s">
        <v>406</v>
      </c>
      <c r="B8" s="95" t="s">
        <v>407</v>
      </c>
      <c r="C8" s="95" t="s">
        <v>454</v>
      </c>
      <c r="D8" s="95" t="s">
        <v>396</v>
      </c>
      <c r="E8" s="95">
        <v>92701000</v>
      </c>
      <c r="F8" s="95"/>
      <c r="G8" s="95"/>
      <c r="H8" s="96">
        <v>11400</v>
      </c>
    </row>
    <row r="9" spans="1:8" x14ac:dyDescent="0.25">
      <c r="A9" s="95" t="s">
        <v>408</v>
      </c>
      <c r="B9" s="95" t="s">
        <v>409</v>
      </c>
      <c r="C9" s="95" t="s">
        <v>454</v>
      </c>
      <c r="D9" s="95" t="s">
        <v>396</v>
      </c>
      <c r="E9" s="95">
        <v>92701000</v>
      </c>
      <c r="F9" s="95"/>
      <c r="G9" s="95"/>
      <c r="H9" s="96">
        <v>7100</v>
      </c>
    </row>
    <row r="10" spans="1:8" x14ac:dyDescent="0.25">
      <c r="A10" s="95" t="s">
        <v>410</v>
      </c>
      <c r="B10" s="95" t="s">
        <v>411</v>
      </c>
      <c r="C10" s="95" t="s">
        <v>454</v>
      </c>
      <c r="D10" s="95" t="s">
        <v>396</v>
      </c>
      <c r="E10" s="95">
        <v>92701000</v>
      </c>
      <c r="F10" s="95"/>
      <c r="G10" s="95"/>
      <c r="H10" s="96">
        <v>11400</v>
      </c>
    </row>
    <row r="11" spans="1:8" x14ac:dyDescent="0.25">
      <c r="A11" s="95" t="s">
        <v>412</v>
      </c>
      <c r="B11" s="95" t="s">
        <v>413</v>
      </c>
      <c r="C11" s="95" t="s">
        <v>454</v>
      </c>
      <c r="D11" s="95" t="s">
        <v>396</v>
      </c>
      <c r="E11" s="95">
        <v>92701000</v>
      </c>
      <c r="F11" s="95"/>
      <c r="G11" s="95"/>
      <c r="H11" s="96">
        <v>5700</v>
      </c>
    </row>
    <row r="12" spans="1:8" x14ac:dyDescent="0.25">
      <c r="A12" s="95" t="s">
        <v>414</v>
      </c>
      <c r="B12" s="95" t="s">
        <v>415</v>
      </c>
      <c r="C12" s="95" t="s">
        <v>454</v>
      </c>
      <c r="D12" s="95" t="s">
        <v>396</v>
      </c>
      <c r="E12" s="95">
        <v>92701000</v>
      </c>
      <c r="F12" s="95"/>
      <c r="G12" s="95"/>
      <c r="H12" s="96">
        <v>5700</v>
      </c>
    </row>
    <row r="13" spans="1:8" x14ac:dyDescent="0.25">
      <c r="A13" s="95" t="s">
        <v>416</v>
      </c>
      <c r="B13" s="95" t="s">
        <v>417</v>
      </c>
      <c r="C13" s="95" t="s">
        <v>454</v>
      </c>
      <c r="D13" s="95" t="s">
        <v>396</v>
      </c>
      <c r="E13" s="95">
        <v>92701000</v>
      </c>
      <c r="F13" s="95"/>
      <c r="G13" s="95"/>
      <c r="H13" s="96">
        <v>5700</v>
      </c>
    </row>
    <row r="14" spans="1:8" x14ac:dyDescent="0.25">
      <c r="A14" s="95" t="s">
        <v>418</v>
      </c>
      <c r="B14" s="95" t="s">
        <v>419</v>
      </c>
      <c r="C14" s="95" t="s">
        <v>454</v>
      </c>
      <c r="D14" s="95" t="s">
        <v>396</v>
      </c>
      <c r="E14" s="95">
        <v>92701000</v>
      </c>
      <c r="F14" s="95"/>
      <c r="G14" s="95"/>
      <c r="H14" s="96">
        <v>17100</v>
      </c>
    </row>
    <row r="15" spans="1:8" x14ac:dyDescent="0.25">
      <c r="A15" s="95" t="s">
        <v>420</v>
      </c>
      <c r="B15" s="95" t="s">
        <v>421</v>
      </c>
      <c r="C15" s="95" t="s">
        <v>454</v>
      </c>
      <c r="D15" s="95" t="s">
        <v>396</v>
      </c>
      <c r="E15" s="95">
        <v>92701000</v>
      </c>
      <c r="F15" s="95"/>
      <c r="G15" s="95"/>
      <c r="H15" s="96">
        <v>17100</v>
      </c>
    </row>
    <row r="16" spans="1:8" x14ac:dyDescent="0.25">
      <c r="A16" s="95" t="s">
        <v>422</v>
      </c>
      <c r="B16" s="95" t="s">
        <v>423</v>
      </c>
      <c r="C16" s="95" t="s">
        <v>454</v>
      </c>
      <c r="D16" s="95" t="s">
        <v>396</v>
      </c>
      <c r="E16" s="95">
        <v>92701000</v>
      </c>
      <c r="F16" s="95"/>
      <c r="G16" s="95"/>
      <c r="H16" s="96">
        <v>5700</v>
      </c>
    </row>
    <row r="17" spans="1:8" x14ac:dyDescent="0.25">
      <c r="A17" s="95" t="s">
        <v>424</v>
      </c>
      <c r="B17" s="95" t="s">
        <v>425</v>
      </c>
      <c r="C17" s="95" t="s">
        <v>454</v>
      </c>
      <c r="D17" s="95" t="s">
        <v>396</v>
      </c>
      <c r="E17" s="95">
        <v>92701000</v>
      </c>
      <c r="F17" s="95"/>
      <c r="G17" s="95"/>
      <c r="H17" s="96">
        <v>5700</v>
      </c>
    </row>
    <row r="18" spans="1:8" x14ac:dyDescent="0.25">
      <c r="A18" s="95" t="s">
        <v>426</v>
      </c>
      <c r="B18" s="95" t="s">
        <v>427</v>
      </c>
      <c r="C18" s="95" t="s">
        <v>454</v>
      </c>
      <c r="D18" s="95" t="s">
        <v>396</v>
      </c>
      <c r="E18" s="95">
        <v>92701000</v>
      </c>
      <c r="F18" s="95"/>
      <c r="G18" s="95"/>
      <c r="H18" s="96">
        <v>5700</v>
      </c>
    </row>
    <row r="19" spans="1:8" x14ac:dyDescent="0.25">
      <c r="A19" s="95" t="s">
        <v>428</v>
      </c>
      <c r="B19" s="95" t="s">
        <v>429</v>
      </c>
      <c r="C19" s="95" t="s">
        <v>454</v>
      </c>
      <c r="D19" s="95" t="s">
        <v>396</v>
      </c>
      <c r="E19" s="95">
        <v>92701000</v>
      </c>
      <c r="F19" s="95"/>
      <c r="G19" s="95"/>
      <c r="H19" s="96">
        <v>5700</v>
      </c>
    </row>
    <row r="20" spans="1:8" x14ac:dyDescent="0.25">
      <c r="A20" s="95" t="s">
        <v>430</v>
      </c>
      <c r="B20" s="95" t="s">
        <v>431</v>
      </c>
      <c r="C20" s="95" t="s">
        <v>454</v>
      </c>
      <c r="D20" s="95" t="s">
        <v>396</v>
      </c>
      <c r="E20" s="95">
        <v>92701000</v>
      </c>
      <c r="F20" s="95"/>
      <c r="G20" s="95"/>
      <c r="H20" s="96">
        <v>17100</v>
      </c>
    </row>
    <row r="21" spans="1:8" x14ac:dyDescent="0.25">
      <c r="A21" s="95" t="s">
        <v>432</v>
      </c>
      <c r="B21" s="95" t="s">
        <v>433</v>
      </c>
      <c r="C21" s="95" t="s">
        <v>454</v>
      </c>
      <c r="D21" s="95" t="s">
        <v>396</v>
      </c>
      <c r="E21" s="95">
        <v>92701000</v>
      </c>
      <c r="F21" s="95"/>
      <c r="G21" s="95"/>
      <c r="H21" s="96">
        <v>9200</v>
      </c>
    </row>
    <row r="22" spans="1:8" x14ac:dyDescent="0.25">
      <c r="A22" s="95" t="s">
        <v>434</v>
      </c>
      <c r="B22" s="95" t="s">
        <v>435</v>
      </c>
      <c r="C22" s="95" t="s">
        <v>454</v>
      </c>
      <c r="D22" s="95" t="s">
        <v>396</v>
      </c>
      <c r="E22" s="95">
        <v>92701000</v>
      </c>
      <c r="F22" s="95"/>
      <c r="G22" s="95"/>
      <c r="H22" s="96">
        <v>22800</v>
      </c>
    </row>
    <row r="23" spans="1:8" x14ac:dyDescent="0.25">
      <c r="A23" s="95" t="s">
        <v>436</v>
      </c>
      <c r="B23" s="95" t="s">
        <v>437</v>
      </c>
      <c r="C23" s="95" t="s">
        <v>454</v>
      </c>
      <c r="D23" s="95" t="s">
        <v>396</v>
      </c>
      <c r="E23" s="95">
        <v>92701000</v>
      </c>
      <c r="F23" s="95"/>
      <c r="G23" s="95"/>
      <c r="H23" s="96">
        <v>5700</v>
      </c>
    </row>
    <row r="24" spans="1:8" x14ac:dyDescent="0.25">
      <c r="A24" s="95" t="s">
        <v>438</v>
      </c>
      <c r="B24" s="95" t="s">
        <v>439</v>
      </c>
      <c r="C24" s="95" t="s">
        <v>454</v>
      </c>
      <c r="D24" s="95" t="s">
        <v>396</v>
      </c>
      <c r="E24" s="95">
        <v>92701000</v>
      </c>
      <c r="F24" s="95"/>
      <c r="G24" s="95"/>
      <c r="H24" s="96">
        <v>5700</v>
      </c>
    </row>
    <row r="25" spans="1:8" x14ac:dyDescent="0.25">
      <c r="A25" s="95" t="s">
        <v>440</v>
      </c>
      <c r="B25" s="95" t="s">
        <v>441</v>
      </c>
      <c r="C25" s="95" t="s">
        <v>454</v>
      </c>
      <c r="D25" s="95" t="s">
        <v>396</v>
      </c>
      <c r="E25" s="95">
        <v>92701000</v>
      </c>
      <c r="F25" s="95"/>
      <c r="G25" s="95"/>
      <c r="H25" s="96">
        <v>5700</v>
      </c>
    </row>
    <row r="26" spans="1:8" x14ac:dyDescent="0.25">
      <c r="A26" s="95" t="s">
        <v>449</v>
      </c>
      <c r="B26" s="95" t="s">
        <v>450</v>
      </c>
      <c r="C26" s="95" t="s">
        <v>454</v>
      </c>
      <c r="D26" s="95" t="s">
        <v>396</v>
      </c>
      <c r="E26" s="95">
        <v>92701000</v>
      </c>
      <c r="F26" s="95"/>
      <c r="G26" s="95"/>
      <c r="H26" s="96">
        <v>14400</v>
      </c>
    </row>
    <row r="27" spans="1:8" x14ac:dyDescent="0.25">
      <c r="A27" s="95" t="s">
        <v>442</v>
      </c>
      <c r="B27" s="95" t="s">
        <v>443</v>
      </c>
      <c r="C27" s="95" t="s">
        <v>454</v>
      </c>
      <c r="D27" s="95" t="s">
        <v>396</v>
      </c>
      <c r="E27" s="95">
        <v>92701000</v>
      </c>
      <c r="F27" s="95"/>
      <c r="G27" s="95"/>
      <c r="H27" s="96">
        <v>5700</v>
      </c>
    </row>
    <row r="28" spans="1:8" x14ac:dyDescent="0.25">
      <c r="A28" s="95" t="s">
        <v>444</v>
      </c>
      <c r="B28" s="95" t="s">
        <v>445</v>
      </c>
      <c r="C28" s="95" t="s">
        <v>454</v>
      </c>
      <c r="D28" s="95" t="s">
        <v>396</v>
      </c>
      <c r="E28" s="95">
        <v>92701000</v>
      </c>
      <c r="F28" s="95"/>
      <c r="G28" s="95"/>
      <c r="H28" s="96">
        <v>5700</v>
      </c>
    </row>
    <row r="29" spans="1:8" x14ac:dyDescent="0.25">
      <c r="A29" s="95" t="s">
        <v>446</v>
      </c>
      <c r="B29" s="95" t="s">
        <v>447</v>
      </c>
      <c r="C29" s="95" t="s">
        <v>454</v>
      </c>
      <c r="D29" s="95" t="s">
        <v>396</v>
      </c>
      <c r="E29" s="95">
        <v>92701000</v>
      </c>
      <c r="F29" s="95"/>
      <c r="G29" s="95"/>
      <c r="H29" s="96">
        <v>5700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9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9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9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9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9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21"/>
  <sheetViews>
    <sheetView tabSelected="1"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455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448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455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448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456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451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456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451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457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458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457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458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451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451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460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448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460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448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461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461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462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448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462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448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463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452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463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452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464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452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464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452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465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448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465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448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466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448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466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448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467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448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467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448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468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468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452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452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470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471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470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471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472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473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472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473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474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448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474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448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448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448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476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448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476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448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477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477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479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448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479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448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480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448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480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448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481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448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481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448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</sheetData>
  <mergeCells count="23">
    <mergeCell ref="A513:C513"/>
    <mergeCell ref="A540:C540"/>
    <mergeCell ref="A567:C567"/>
    <mergeCell ref="A594:C594"/>
    <mergeCell ref="A621:C621"/>
    <mergeCell ref="A351:C351"/>
    <mergeCell ref="A378:C378"/>
    <mergeCell ref="A405:C405"/>
    <mergeCell ref="A432:C432"/>
    <mergeCell ref="A459:C459"/>
    <mergeCell ref="A486:C486"/>
    <mergeCell ref="A189:C189"/>
    <mergeCell ref="A216:C216"/>
    <mergeCell ref="A243:C243"/>
    <mergeCell ref="A270:C270"/>
    <mergeCell ref="A297:C297"/>
    <mergeCell ref="A324:C324"/>
    <mergeCell ref="A27:C27"/>
    <mergeCell ref="A54:C54"/>
    <mergeCell ref="A81:C81"/>
    <mergeCell ref="A108:C108"/>
    <mergeCell ref="A135:C135"/>
    <mergeCell ref="A162:C162"/>
  </mergeCells>
  <pageMargins left="0.39370078740157499" right="0.39370078740157499" top="0.196850393700787" bottom="0.196850393700787" header="0" footer="0"/>
  <pageSetup paperSize="9" orientation="portrait" r:id="rId1"/>
  <rowBreaks count="23" manualBreakCount="23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2023-01-20T09:28:47Z</cp:lastPrinted>
  <dcterms:created xsi:type="dcterms:W3CDTF">2012-02-27T08:19:11Z</dcterms:created>
  <dcterms:modified xsi:type="dcterms:W3CDTF">2023-02-21T06:58:39Z</dcterms:modified>
</cp:coreProperties>
</file>