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1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00" i="281" l="1"/>
  <c r="C613" i="281" s="1"/>
  <c r="C598" i="281"/>
  <c r="C611" i="281" s="1"/>
  <c r="C596" i="281"/>
  <c r="C609" i="281" s="1"/>
  <c r="C584" i="281"/>
  <c r="C573" i="281"/>
  <c r="C586" i="281" s="1"/>
  <c r="C571" i="281"/>
  <c r="C569" i="281"/>
  <c r="C582" i="281" s="1"/>
  <c r="C557" i="281"/>
  <c r="C546" i="281"/>
  <c r="C559" i="281" s="1"/>
  <c r="C544" i="281"/>
  <c r="C542" i="281"/>
  <c r="C555" i="281" s="1"/>
  <c r="C530" i="281"/>
  <c r="C519" i="281"/>
  <c r="C532" i="281" s="1"/>
  <c r="C517" i="281"/>
  <c r="C515" i="281"/>
  <c r="C528" i="281" s="1"/>
  <c r="C503" i="281"/>
  <c r="C492" i="281"/>
  <c r="C505" i="281" s="1"/>
  <c r="C490" i="281"/>
  <c r="C488" i="281"/>
  <c r="C501" i="281" s="1"/>
  <c r="C476" i="281"/>
  <c r="C465" i="281"/>
  <c r="C478" i="281" s="1"/>
  <c r="C463" i="281"/>
  <c r="C461" i="281"/>
  <c r="C474" i="281" s="1"/>
  <c r="C449" i="281"/>
  <c r="C438" i="281"/>
  <c r="C451" i="281" s="1"/>
  <c r="C436" i="281"/>
  <c r="C434" i="281"/>
  <c r="C447" i="281" s="1"/>
  <c r="C422" i="281"/>
  <c r="C411" i="281"/>
  <c r="C424" i="281" s="1"/>
  <c r="C409" i="281"/>
  <c r="C407" i="281"/>
  <c r="C420" i="281" s="1"/>
  <c r="C395" i="281"/>
  <c r="C384" i="281"/>
  <c r="C397" i="281" s="1"/>
  <c r="C382" i="281"/>
  <c r="C380" i="281"/>
  <c r="C393" i="281" s="1"/>
  <c r="C368" i="281"/>
  <c r="C357" i="281"/>
  <c r="C370" i="281" s="1"/>
  <c r="C355" i="281"/>
  <c r="C353" i="281"/>
  <c r="C366" i="281" s="1"/>
  <c r="C341" i="281"/>
  <c r="C330" i="281"/>
  <c r="C343" i="281" s="1"/>
  <c r="C328" i="281"/>
  <c r="C326" i="281"/>
  <c r="C339" i="281" s="1"/>
  <c r="C314" i="281"/>
  <c r="C303" i="281"/>
  <c r="C316" i="281" s="1"/>
  <c r="C301" i="281"/>
  <c r="C299" i="281"/>
  <c r="C312" i="281" s="1"/>
  <c r="C287" i="281"/>
  <c r="C276" i="281"/>
  <c r="C289" i="281" s="1"/>
  <c r="C274" i="281"/>
  <c r="C272" i="281"/>
  <c r="C285" i="281" s="1"/>
  <c r="C260" i="281"/>
  <c r="C249" i="281"/>
  <c r="C262" i="281" s="1"/>
  <c r="C247" i="281"/>
  <c r="C245" i="281"/>
  <c r="C258" i="281" s="1"/>
  <c r="C233" i="281"/>
  <c r="C222" i="281"/>
  <c r="C235" i="281" s="1"/>
  <c r="C220" i="281"/>
  <c r="C218" i="281"/>
  <c r="C231" i="281" s="1"/>
  <c r="C206" i="281"/>
  <c r="C195" i="281"/>
  <c r="C208" i="281" s="1"/>
  <c r="C193" i="281"/>
  <c r="C191" i="281"/>
  <c r="C204" i="281" s="1"/>
  <c r="C179" i="281"/>
  <c r="C168" i="281"/>
  <c r="C181" i="281" s="1"/>
  <c r="C166" i="281"/>
  <c r="C164" i="281"/>
  <c r="C177" i="281" s="1"/>
  <c r="C152" i="281"/>
  <c r="C141" i="281"/>
  <c r="C154" i="281" s="1"/>
  <c r="C139" i="281"/>
  <c r="C137" i="281"/>
  <c r="C150" i="281" s="1"/>
  <c r="C125" i="281"/>
  <c r="C114" i="281"/>
  <c r="C127" i="281" s="1"/>
  <c r="C112" i="281"/>
  <c r="C110" i="281"/>
  <c r="C123" i="281" s="1"/>
  <c r="C98" i="281"/>
  <c r="C87" i="281"/>
  <c r="C100" i="281" s="1"/>
  <c r="C85" i="281"/>
  <c r="C83" i="281"/>
  <c r="C96" i="281" s="1"/>
  <c r="C71" i="281"/>
  <c r="C60" i="281"/>
  <c r="C73" i="281" s="1"/>
  <c r="C58" i="281"/>
  <c r="C56" i="281"/>
  <c r="C69" i="281" s="1"/>
  <c r="C44" i="281"/>
  <c r="C33" i="281"/>
  <c r="C46" i="281" s="1"/>
  <c r="C31" i="281"/>
  <c r="C29" i="281"/>
  <c r="C42" i="281" s="1"/>
  <c r="C17" i="281"/>
  <c r="C6" i="281"/>
  <c r="C19" i="281" s="1"/>
  <c r="C4" i="281"/>
  <c r="C2" i="281"/>
  <c r="C15" i="281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<sst xmlns="http://schemas.openxmlformats.org/spreadsheetml/2006/main" count="2552" uniqueCount="486">
  <si>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</si>
  <si>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</si>
  <si>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</si>
  <si>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</si>
  <si>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</si>
  <si>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</si>
  <si>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</si>
  <si>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</si>
  <si>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</si>
  <si>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</si>
  <si>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</si>
  <si>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</si>
  <si>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</si>
  <si>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</si>
  <si>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</si>
  <si>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</si>
  <si>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</si>
  <si>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</si>
  <si>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</si>
  <si>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</si>
  <si>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</si>
  <si>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</si>
  <si>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</si>
  <si>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</si>
  <si>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</si>
  <si>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</si>
  <si>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</si>
  <si>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</si>
  <si>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</si>
  <si>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</si>
  <si>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</si>
  <si>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</si>
  <si>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</si>
  <si>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</si>
  <si>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</si>
  <si>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</si>
  <si>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</si>
  <si>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</si>
  <si>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</si>
  <si>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</si>
  <si>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</si>
  <si>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</si>
  <si>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</si>
  <si>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</si>
  <si>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</si>
  <si>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</si>
  <si>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</si>
  <si>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</si>
  <si>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</si>
  <si>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</si>
  <si>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</si>
  <si>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</si>
  <si>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</si>
  <si>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</si>
  <si>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</si>
  <si>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</si>
  <si>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</si>
  <si>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</si>
  <si>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</si>
  <si>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</si>
  <si>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</si>
  <si>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</si>
  <si>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</si>
  <si>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</si>
  <si>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</si>
  <si>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</si>
  <si>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</si>
  <si>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</si>
  <si>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</si>
  <si>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</si>
  <si>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</si>
  <si>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</si>
  <si>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</si>
  <si>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</si>
  <si>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</si>
  <si>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</si>
  <si>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</si>
  <si>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</si>
  <si>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</si>
  <si>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</si>
  <si>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</si>
  <si>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</si>
  <si>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</si>
  <si>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</si>
  <si>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</si>
  <si>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</si>
  <si>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</si>
  <si>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</si>
  <si>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</si>
  <si>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</si>
  <si>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</si>
  <si>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</si>
  <si>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</si>
  <si>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</si>
  <si>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</si>
  <si>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</si>
  <si>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</si>
  <si>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</si>
  <si>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</si>
  <si>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</si>
  <si>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</si>
  <si>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</si>
  <si>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</si>
  <si>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</si>
  <si>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</si>
  <si>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</si>
  <si>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</si>
  <si>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</si>
  <si>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</si>
  <si>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</si>
  <si>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</si>
  <si>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</si>
  <si>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</si>
  <si>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</si>
  <si>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</si>
  <si>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</si>
  <si>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</si>
  <si>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</si>
  <si>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</si>
  <si>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</si>
  <si>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</si>
  <si>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</si>
  <si>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</si>
  <si>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</si>
  <si>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</si>
  <si>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</si>
  <si>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</si>
  <si>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</si>
  <si>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</si>
  <si>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</si>
  <si>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</si>
  <si>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</si>
  <si>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</si>
  <si>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</si>
  <si>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</si>
  <si>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</si>
  <si>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</si>
  <si>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</si>
  <si>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</si>
  <si>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</si>
  <si>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</si>
  <si>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</si>
  <si>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</si>
  <si>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</si>
  <si>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</si>
  <si>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</si>
  <si>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</si>
  <si>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</si>
  <si>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</si>
  <si>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</si>
  <si>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</si>
  <si>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</si>
  <si>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</si>
  <si>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</si>
  <si>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</si>
  <si>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</si>
  <si>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</si>
  <si>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</si>
  <si>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</si>
  <si>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</si>
  <si>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</si>
  <si>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</si>
  <si>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</si>
  <si>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</si>
  <si>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</si>
  <si>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</si>
  <si>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</si>
  <si>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</si>
  <si>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</si>
  <si>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</si>
  <si>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</si>
  <si>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</si>
  <si>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</si>
  <si>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</si>
  <si>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</si>
  <si>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</si>
  <si>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</si>
  <si>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</si>
  <si>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</si>
  <si>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</si>
  <si>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</si>
  <si>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</si>
  <si>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</si>
  <si>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</si>
  <si>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</si>
  <si>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</si>
  <si>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</si>
  <si>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</si>
  <si>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</si>
  <si>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</si>
  <si>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</si>
  <si>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</si>
  <si>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</si>
  <si>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</si>
  <si>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</si>
  <si>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</si>
  <si>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</si>
  <si>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</si>
  <si>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</si>
  <si>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</si>
  <si>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</si>
  <si>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</si>
  <si>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</si>
  <si>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</si>
  <si>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</si>
  <si>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</si>
  <si>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</si>
  <si>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</si>
  <si>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</si>
  <si>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</si>
  <si>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</si>
  <si>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</si>
  <si>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</si>
  <si>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</si>
  <si>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</si>
  <si>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</si>
  <si>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</si>
  <si>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</si>
  <si>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</si>
  <si>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</si>
  <si>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</si>
  <si>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</si>
  <si>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</si>
  <si>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</si>
  <si>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</si>
  <si>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</si>
  <si>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</si>
  <si>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</si>
  <si>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</si>
  <si>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</si>
  <si>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</si>
  <si>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</si>
  <si>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</si>
  <si>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</si>
  <si>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</si>
  <si>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</si>
  <si>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</si>
  <si>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</si>
  <si>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</si>
  <si>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</si>
  <si>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</si>
  <si>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</si>
  <si>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</si>
  <si>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</si>
  <si>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</si>
  <si>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</si>
  <si>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</si>
  <si>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</si>
  <si>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</si>
  <si>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</si>
  <si>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</si>
  <si>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</si>
  <si>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</si>
  <si>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</si>
  <si>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</si>
  <si>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</si>
  <si>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</si>
  <si>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</si>
  <si>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</si>
  <si>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</si>
  <si>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</si>
  <si>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</si>
  <si>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</si>
  <si>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</si>
  <si>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</si>
  <si>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</si>
  <si>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</si>
  <si>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</si>
  <si>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</si>
  <si>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</si>
  <si>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</si>
  <si>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</si>
  <si>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</si>
  <si>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</si>
  <si>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</si>
  <si>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</si>
  <si>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</si>
  <si>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</si>
  <si>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</si>
  <si>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</si>
  <si>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</si>
  <si>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</si>
  <si>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</si>
  <si>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</si>
  <si>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</si>
  <si>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</si>
  <si>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</si>
  <si>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</si>
  <si>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</si>
  <si>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</si>
  <si>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</si>
  <si>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</si>
  <si>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</si>
  <si>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</si>
  <si>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</si>
  <si>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</si>
  <si>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</si>
  <si>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</si>
  <si>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</si>
  <si>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</si>
  <si>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</si>
  <si>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</si>
  <si>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</si>
  <si>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</si>
  <si>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</si>
  <si>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</si>
  <si>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</si>
  <si>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</si>
  <si>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</si>
  <si>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</si>
  <si>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</si>
  <si>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</si>
  <si>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</si>
  <si>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</si>
  <si>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</si>
  <si>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</si>
  <si>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</si>
  <si>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</si>
  <si>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</si>
  <si>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</si>
  <si>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</si>
  <si>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</si>
  <si>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</si>
  <si>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</si>
  <si>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</si>
  <si>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</si>
  <si>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</si>
  <si>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</si>
  <si>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</si>
  <si>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</si>
  <si>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</si>
  <si>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</si>
  <si>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</si>
  <si>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</si>
  <si>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</si>
  <si>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</si>
  <si>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</si>
  <si>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</si>
  <si>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</si>
  <si>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</si>
  <si>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</si>
  <si>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</si>
  <si>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</si>
  <si>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</si>
  <si>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</si>
  <si>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</si>
  <si>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</si>
  <si>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</si>
  <si>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</si>
  <si>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</si>
  <si>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</si>
  <si>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</si>
  <si>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</si>
  <si>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</si>
  <si>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</si>
  <si>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</si>
  <si>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</si>
  <si>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</si>
  <si>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</si>
  <si>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</si>
  <si>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</si>
  <si>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</si>
  <si>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</si>
  <si>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</si>
  <si>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</si>
  <si>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</si>
  <si>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</si>
  <si>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</si>
  <si>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</si>
  <si>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</si>
  <si>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</si>
  <si>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</si>
  <si>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</si>
  <si>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</si>
  <si>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</si>
  <si>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</si>
  <si>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</si>
  <si>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</si>
  <si>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</si>
  <si>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</si>
  <si>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</si>
  <si>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</si>
  <si>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</si>
  <si>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</si>
  <si>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</si>
  <si>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</si>
  <si>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</si>
  <si>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</si>
  <si>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</si>
  <si>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</si>
  <si>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</si>
  <si>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</si>
  <si>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</si>
  <si>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</si>
  <si>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</si>
  <si>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сент-окт</t>
  </si>
  <si>
    <t xml:space="preserve">10а доп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</si>
  <si>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</si>
  <si>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</si>
  <si>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</si>
  <si>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</si>
  <si>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>CATEGORY=5</t>
  </si>
  <si>
    <t>000825</t>
  </si>
  <si>
    <t xml:space="preserve">Ахметжанов Камиль Алмазович                       </t>
  </si>
  <si>
    <t xml:space="preserve">5б род              </t>
  </si>
  <si>
    <t>000840</t>
  </si>
  <si>
    <t xml:space="preserve">Ашуров Абдулло Хуршеджонович                      </t>
  </si>
  <si>
    <t>000766</t>
  </si>
  <si>
    <t xml:space="preserve">Бакиров Рустем Азатович                           </t>
  </si>
  <si>
    <t>000826</t>
  </si>
  <si>
    <t xml:space="preserve">Валиев Бахтияр Рустемович                         </t>
  </si>
  <si>
    <t>000827</t>
  </si>
  <si>
    <t xml:space="preserve">Галин Марсель Камилевич                           </t>
  </si>
  <si>
    <t>000721</t>
  </si>
  <si>
    <t xml:space="preserve">Галяветдинов Салим Айратович                      </t>
  </si>
  <si>
    <t>000722</t>
  </si>
  <si>
    <t xml:space="preserve">Гараев Саид Ильясович                             </t>
  </si>
  <si>
    <t>000841</t>
  </si>
  <si>
    <t xml:space="preserve">Гафиятов Кемаль Ренатович                         </t>
  </si>
  <si>
    <t>000828</t>
  </si>
  <si>
    <t xml:space="preserve">Джаафар Карлос Бассамович                         </t>
  </si>
  <si>
    <t>000829</t>
  </si>
  <si>
    <t xml:space="preserve">Железнов Глеб Андреевич                           </t>
  </si>
  <si>
    <t>000830</t>
  </si>
  <si>
    <t xml:space="preserve">Масленников Платон Алексеевич                     </t>
  </si>
  <si>
    <t>000771</t>
  </si>
  <si>
    <t xml:space="preserve">Махмутов Ахмад Ильясович                          </t>
  </si>
  <si>
    <t>000756</t>
  </si>
  <si>
    <t xml:space="preserve">Мухаметзянов Алим Айратович                       </t>
  </si>
  <si>
    <t>000773</t>
  </si>
  <si>
    <t xml:space="preserve">Мухлисов Азамат Рустамович                        </t>
  </si>
  <si>
    <t>000831</t>
  </si>
  <si>
    <t xml:space="preserve">Нуртдинов Ибрагим Вадимович                       </t>
  </si>
  <si>
    <t>000832</t>
  </si>
  <si>
    <t xml:space="preserve">Садыйков Эмир Дамирович                           </t>
  </si>
  <si>
    <t>000762</t>
  </si>
  <si>
    <t xml:space="preserve">Саляхов Ибрахим Ленарович                         </t>
  </si>
  <si>
    <t>000748</t>
  </si>
  <si>
    <t xml:space="preserve">Сафиуллин Тимур Ильдарович                        </t>
  </si>
  <si>
    <t>000761</t>
  </si>
  <si>
    <t xml:space="preserve">Усманов Султан Салаватович                        </t>
  </si>
  <si>
    <t>000833</t>
  </si>
  <si>
    <t xml:space="preserve">Хафизов Джамиль Ильшатович                        </t>
  </si>
  <si>
    <t>000727</t>
  </si>
  <si>
    <t xml:space="preserve">Хисамутдинов Карим Альфирович                     </t>
  </si>
  <si>
    <t>000779</t>
  </si>
  <si>
    <t xml:space="preserve">Шафигуллин Юсуф Радикович                         </t>
  </si>
  <si>
    <t>000750</t>
  </si>
  <si>
    <t xml:space="preserve">Щербицкий Ярослав Владимирович                    </t>
  </si>
  <si>
    <t>Сумма: 2153 руб. 78 коп.</t>
  </si>
  <si>
    <t>ЛС: 000825; ФИО обучающегося: Ахметжанов Камиль Алмазович                       ; Назначение: 5б род февр; КБК: 82100000000000003131; ОКТМО: 92701000</t>
  </si>
  <si>
    <t>Сумма: 10394 руб. 06 коп.</t>
  </si>
  <si>
    <t>ЛС: 000840; ФИО обучающегося: Ашуров Абдулло Хуршеджонович                      ; Назначение: 5б род февр; КБК: 82100000000000003131; ОКТМО: 92701000</t>
  </si>
  <si>
    <t>Сумма: 14587 руб. 37 коп.</t>
  </si>
  <si>
    <t>ЛС: 000766; ФИО обучающегося: Бакиров Рустем Азатович                           ; Назначение: 5б род февр; КБК: 82100000000000003131; ОКТМО: 92701000</t>
  </si>
  <si>
    <t>Сумма: 2838 руб. 00 коп.</t>
  </si>
  <si>
    <t>ЛС: 000826; ФИО обучающегося: Валиев Бахтияр Рустемович                         ; Назначение: 5б род февр; КБК: 82100000000000003131; ОКТМО: 92701000</t>
  </si>
  <si>
    <t>Сумма: 11862 руб. 05 коп.</t>
  </si>
  <si>
    <t>ЛС: 000827; ФИО обучающегося: Галин Марсель Камилевич                           ; Назначение: 5б род февр; КБК: 82100000000000003131; ОКТМО: 92701000</t>
  </si>
  <si>
    <t>Сумма: 271 руб. 21 коп.</t>
  </si>
  <si>
    <t>ЛС: 000721; ФИО обучающегося: Галяветдинов Салим Айратович                      ; Назначение: 5б род февр; КБК: 82100000000000003131; ОКТМО: 92701000</t>
  </si>
  <si>
    <t>Сумма: 2424 руб. 42 коп.</t>
  </si>
  <si>
    <t>ЛС: 000722; ФИО обучающегося: Гараев Саид Ильясович                             ; Назначение: 5б род февр; КБК: 82100000000000003131; ОКТМО: 92701000</t>
  </si>
  <si>
    <t>Сумма: 2540 руб. 00 коп.</t>
  </si>
  <si>
    <t>ЛС: 000841; ФИО обучающегося: Гафиятов Кемаль Ренатович                         ; Назначение: 5б род февр; КБК: 82100000000000003131; ОКТМО: 92701000</t>
  </si>
  <si>
    <t>ЛС: 000828; ФИО обучающегося: Джаафар Карлос Бассамович                         ; Назначение: 5б род февр; КБК: 82100000000000003131; ОКТМО: 92701000</t>
  </si>
  <si>
    <t>ЛС: 000829; ФИО обучающегося: Железнов Глеб Андреевич                           ; Назначение: 5б род февр; КБК: 82100000000000003131; ОКТМО: 92701000</t>
  </si>
  <si>
    <t>Сумма: 8171 руб. 21 коп.</t>
  </si>
  <si>
    <t>ЛС: 000830; ФИО обучающегося: Масленников Платон Алексеевич                     ; Назначение: 5б род февр; КБК: 82100000000000003131; ОКТМО: 92701000</t>
  </si>
  <si>
    <t>Сумма: 2470 руб. 66 коп.</t>
  </si>
  <si>
    <t>ЛС: 000771; ФИО обучающегося: Махмутов Ахмад Ильясович                          ; Назначение: 5б род февр; КБК: 82100000000000003131; ОКТМО: 92701000</t>
  </si>
  <si>
    <t>Сумма: 7171 руб. 21 коп.</t>
  </si>
  <si>
    <t>ЛС: 000756; ФИО обучающегося: Мухаметзянов Алим Айратович                       ; Назначение: 5б род февр; КБК: 82100000000000003131; ОКТМО: 92701000</t>
  </si>
  <si>
    <t>ЛС: 000773; ФИО обучающегося: Мухлисов Азамат Рустамович                        ; Назначение: 5б род февр; КБК: 82100000000000003131; ОКТМО: 92701000</t>
  </si>
  <si>
    <t>ЛС: 000831; ФИО обучающегося: Нуртдинов Ибрагим Вадимович                       ; Назначение: 5б род февр; КБК: 82100000000000003131; ОКТМО: 92701000</t>
  </si>
  <si>
    <t>ЛС: 000832; ФИО обучающегося: Садыйков Эмир Дамирович                           ; Назначение: 5б род февр; КБК: 82100000000000003131; ОКТМО: 92701000</t>
  </si>
  <si>
    <t>ЛС: 000762; ФИО обучающегося: Саляхов Ибрахим Ленарович                         ; Назначение: 5б род февр; КБК: 82100000000000003131; ОКТМО: 92701000</t>
  </si>
  <si>
    <t>ЛС: 000748; ФИО обучающегося: Сафиуллин Тимур Ильдарович                        ; Назначение: 5б род февр; КБК: 82100000000000003131; ОКТМО: 92701000</t>
  </si>
  <si>
    <t>ЛС: 000761; ФИО обучающегося: Усманов Султан Салаватович                        ; Назначение: 5б род февр; КБК: 82100000000000003131; ОКТМО: 92701000</t>
  </si>
  <si>
    <t>ЛС: 000833; ФИО обучающегося: Хафизов Джамиль Ильшатович                        ; Назначение: 5б род февр; КБК: 82100000000000003131; ОКТМО: 92701000</t>
  </si>
  <si>
    <t>ЛС: 000727; ФИО обучающегося: Хисамутдинов Карим Альфирович                     ; Назначение: 5б род февр; КБК: 82100000000000003131; ОКТМО: 92701000</t>
  </si>
  <si>
    <t>Сумма: 9484 руб. 24 коп.</t>
  </si>
  <si>
    <t>ЛС: 000779; ФИО обучающегося: Шафигуллин Юсуф Радикович                         ; Назначение: 5б род февр; КБК: 82100000000000003131; ОКТМО: 92701000</t>
  </si>
  <si>
    <t>ЛС: 000750; ФИО обучающегося: Щербицкий Ярослав Владимирович                    ; Назначение: 5б род февр; КБК: 82100000000000003131; ОКТМО: 92701000</t>
  </si>
  <si>
    <t>апрель</t>
  </si>
  <si>
    <t>5б род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</si>
</sst>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9" headerRowDxfId="23" dataDxfId="0" totalsRowDxfId="20" headerRowBorderDxfId="22" tableBorderDxfId="21">
  <autoFilter ref="A6:H29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4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402</v>
      </c>
      <c r="B2" s="92" t="s">
        <v>403</v>
      </c>
      <c r="C2" s="92" t="s">
        <v>404</v>
      </c>
      <c r="D2" s="92" t="s">
        <v>484</v>
      </c>
      <c r="E2" s="93">
        <v>5330.56</v>
      </c>
      <c r="F2" s="98" t="str">
        <f>TRIM(A2)</f>
        <v>000825</v>
      </c>
      <c r="G2" s="31" t="str">
        <f t="shared" ref="G2:G46" si="0">B2</f>
        <v xml:space="preserve">Ахметжанов Камиль Алмазович                       </v>
      </c>
      <c r="H2" s="31" t="str">
        <f>CONCATENATE(TRIM(C2)," ",D2)</f>
        <v>5б род апрель</v>
      </c>
      <c r="I2" s="94" t="s">
        <v>387</v>
      </c>
      <c r="J2" s="31">
        <v>92701000</v>
      </c>
      <c r="M2" s="31">
        <f t="shared" ref="M2:M63" si="1">E2</f>
        <v>5330.56</v>
      </c>
    </row>
    <row r="3" spans="1:13" x14ac:dyDescent="0.25">
      <c r="A3" s="92" t="s">
        <v>405</v>
      </c>
      <c r="B3" s="92" t="s">
        <v>406</v>
      </c>
      <c r="C3" s="92" t="s">
        <v>404</v>
      </c>
      <c r="D3" s="92" t="s">
        <v>484</v>
      </c>
      <c r="E3" s="93">
        <v>9917.93</v>
      </c>
      <c r="F3" s="98" t="str">
        <f t="shared" ref="F3:F66" si="2">TRIM(A3)</f>
        <v>000840</v>
      </c>
      <c r="G3" s="31" t="str">
        <f t="shared" si="0"/>
        <v xml:space="preserve">Ашуров Абдулло Хуршеджонович                      </v>
      </c>
      <c r="H3" s="31" t="str">
        <f t="shared" ref="H3:H66" si="3">CONCATENATE(TRIM(C3)," ",D3)</f>
        <v>5б род апрель</v>
      </c>
      <c r="I3" s="94" t="s">
        <v>387</v>
      </c>
      <c r="J3" s="31">
        <v>92701000</v>
      </c>
      <c r="M3" s="31">
        <f t="shared" si="1"/>
        <v>9917.93</v>
      </c>
    </row>
    <row r="4" spans="1:13" x14ac:dyDescent="0.25">
      <c r="A4" s="92" t="s">
        <v>407</v>
      </c>
      <c r="B4" s="92" t="s">
        <v>408</v>
      </c>
      <c r="C4" s="92" t="s">
        <v>404</v>
      </c>
      <c r="D4" s="92" t="s">
        <v>484</v>
      </c>
      <c r="E4" s="93">
        <v>5330.56</v>
      </c>
      <c r="F4" s="98" t="str">
        <f t="shared" si="2"/>
        <v>000766</v>
      </c>
      <c r="G4" s="31" t="str">
        <f t="shared" si="0"/>
        <v xml:space="preserve">Бакиров Рустем Азатович                           </v>
      </c>
      <c r="H4" s="31" t="str">
        <f t="shared" si="3"/>
        <v>5б род апрель</v>
      </c>
      <c r="I4" s="94" t="s">
        <v>387</v>
      </c>
      <c r="J4" s="31">
        <v>92701000</v>
      </c>
      <c r="M4" s="31">
        <f t="shared" si="1"/>
        <v>5330.56</v>
      </c>
    </row>
    <row r="5" spans="1:13" x14ac:dyDescent="0.25">
      <c r="A5" s="92" t="s">
        <v>409</v>
      </c>
      <c r="B5" s="92" t="s">
        <v>410</v>
      </c>
      <c r="C5" s="92" t="s">
        <v>404</v>
      </c>
      <c r="D5" s="92" t="s">
        <v>484</v>
      </c>
      <c r="E5" s="93">
        <v>16711.12</v>
      </c>
      <c r="F5" s="98" t="str">
        <f t="shared" si="2"/>
        <v>000826</v>
      </c>
      <c r="G5" s="31" t="str">
        <f t="shared" si="0"/>
        <v xml:space="preserve">Валиев Бахтияр Рустемович                         </v>
      </c>
      <c r="H5" s="31" t="str">
        <f t="shared" si="3"/>
        <v>5б род апрель</v>
      </c>
      <c r="I5" s="94" t="s">
        <v>387</v>
      </c>
      <c r="J5" s="31">
        <v>92701000</v>
      </c>
      <c r="M5" s="31">
        <f t="shared" si="1"/>
        <v>16711.12</v>
      </c>
    </row>
    <row r="6" spans="1:13" x14ac:dyDescent="0.25">
      <c r="A6" s="92" t="s">
        <v>411</v>
      </c>
      <c r="B6" s="92" t="s">
        <v>412</v>
      </c>
      <c r="C6" s="92" t="s">
        <v>404</v>
      </c>
      <c r="D6" s="92" t="s">
        <v>484</v>
      </c>
      <c r="E6" s="93">
        <v>2620.2800000000002</v>
      </c>
      <c r="F6" s="98" t="str">
        <f t="shared" si="2"/>
        <v>000827</v>
      </c>
      <c r="G6" s="31" t="str">
        <f t="shared" si="0"/>
        <v xml:space="preserve">Галин Марсель Камилевич                           </v>
      </c>
      <c r="H6" s="31" t="str">
        <f t="shared" si="3"/>
        <v>5б род апрель</v>
      </c>
      <c r="I6" s="94" t="s">
        <v>387</v>
      </c>
      <c r="J6" s="31">
        <v>92701000</v>
      </c>
      <c r="M6" s="31">
        <f t="shared" si="1"/>
        <v>2620.2800000000002</v>
      </c>
    </row>
    <row r="7" spans="1:13" x14ac:dyDescent="0.25">
      <c r="A7" s="92" t="s">
        <v>413</v>
      </c>
      <c r="B7" s="92" t="s">
        <v>414</v>
      </c>
      <c r="C7" s="92" t="s">
        <v>404</v>
      </c>
      <c r="D7" s="92" t="s">
        <v>484</v>
      </c>
      <c r="E7" s="93">
        <v>4849.07</v>
      </c>
      <c r="F7" s="98" t="str">
        <f t="shared" si="2"/>
        <v>000721</v>
      </c>
      <c r="G7" s="31" t="str">
        <f t="shared" si="0"/>
        <v xml:space="preserve">Галяветдинов Салим Айратович                      </v>
      </c>
      <c r="H7" s="31" t="str">
        <f t="shared" si="3"/>
        <v>5б род апрель</v>
      </c>
      <c r="I7" s="94" t="s">
        <v>387</v>
      </c>
      <c r="J7" s="31">
        <v>92701000</v>
      </c>
      <c r="M7" s="31">
        <f t="shared" si="1"/>
        <v>4849.07</v>
      </c>
    </row>
    <row r="8" spans="1:13" x14ac:dyDescent="0.25">
      <c r="A8" s="92" t="s">
        <v>415</v>
      </c>
      <c r="B8" s="92" t="s">
        <v>416</v>
      </c>
      <c r="C8" s="92" t="s">
        <v>404</v>
      </c>
      <c r="D8" s="92" t="s">
        <v>484</v>
      </c>
      <c r="E8" s="93">
        <v>2540</v>
      </c>
      <c r="F8" s="98" t="str">
        <f t="shared" si="2"/>
        <v>000722</v>
      </c>
      <c r="G8" s="31" t="str">
        <f t="shared" si="0"/>
        <v xml:space="preserve">Гараев Саид Ильясович                             </v>
      </c>
      <c r="H8" s="31" t="str">
        <f t="shared" si="3"/>
        <v>5б род апрель</v>
      </c>
      <c r="I8" s="94" t="s">
        <v>387</v>
      </c>
      <c r="J8" s="31">
        <v>92701000</v>
      </c>
      <c r="M8" s="31">
        <f t="shared" si="1"/>
        <v>2540</v>
      </c>
    </row>
    <row r="9" spans="1:13" x14ac:dyDescent="0.25">
      <c r="A9" s="92" t="s">
        <v>417</v>
      </c>
      <c r="B9" s="92" t="s">
        <v>418</v>
      </c>
      <c r="C9" s="92" t="s">
        <v>404</v>
      </c>
      <c r="D9" s="92" t="s">
        <v>484</v>
      </c>
      <c r="E9" s="93">
        <v>2292.33</v>
      </c>
      <c r="F9" s="98" t="str">
        <f t="shared" si="2"/>
        <v>000841</v>
      </c>
      <c r="G9" s="31" t="str">
        <f t="shared" si="0"/>
        <v xml:space="preserve">Гафиятов Кемаль Ренатович                         </v>
      </c>
      <c r="H9" s="31" t="str">
        <f t="shared" si="3"/>
        <v>5б род апрель</v>
      </c>
      <c r="I9" s="94" t="s">
        <v>387</v>
      </c>
      <c r="J9" s="31">
        <v>92701000</v>
      </c>
      <c r="M9" s="31">
        <f t="shared" si="1"/>
        <v>2292.33</v>
      </c>
    </row>
    <row r="10" spans="1:13" x14ac:dyDescent="0.25">
      <c r="A10" s="92" t="s">
        <v>419</v>
      </c>
      <c r="B10" s="92" t="s">
        <v>420</v>
      </c>
      <c r="C10" s="92" t="s">
        <v>404</v>
      </c>
      <c r="D10" s="92" t="s">
        <v>484</v>
      </c>
      <c r="E10" s="93">
        <v>4849.07</v>
      </c>
      <c r="F10" s="98" t="str">
        <f t="shared" si="2"/>
        <v>000828</v>
      </c>
      <c r="G10" s="31" t="str">
        <f t="shared" si="0"/>
        <v xml:space="preserve">Джаафар Карлос Бассамович                         </v>
      </c>
      <c r="H10" s="31" t="str">
        <f t="shared" si="3"/>
        <v>5б род апрель</v>
      </c>
      <c r="I10" s="94" t="s">
        <v>387</v>
      </c>
      <c r="J10" s="31">
        <v>92701000</v>
      </c>
      <c r="M10" s="31">
        <f t="shared" si="1"/>
        <v>4849.07</v>
      </c>
    </row>
    <row r="11" spans="1:13" x14ac:dyDescent="0.25">
      <c r="A11" s="92" t="s">
        <v>421</v>
      </c>
      <c r="B11" s="92" t="s">
        <v>422</v>
      </c>
      <c r="C11" s="92" t="s">
        <v>404</v>
      </c>
      <c r="D11" s="92" t="s">
        <v>484</v>
      </c>
      <c r="E11" s="93">
        <v>13020.28</v>
      </c>
      <c r="F11" s="98" t="str">
        <f t="shared" si="2"/>
        <v>000829</v>
      </c>
      <c r="G11" s="31" t="str">
        <f t="shared" si="0"/>
        <v xml:space="preserve">Железнов Глеб Андреевич                           </v>
      </c>
      <c r="H11" s="31" t="str">
        <f t="shared" si="3"/>
        <v>5б род апрель</v>
      </c>
      <c r="I11" s="94" t="s">
        <v>387</v>
      </c>
      <c r="J11" s="31">
        <v>92701000</v>
      </c>
      <c r="M11" s="31">
        <f t="shared" si="1"/>
        <v>13020.28</v>
      </c>
    </row>
    <row r="12" spans="1:13" x14ac:dyDescent="0.25">
      <c r="A12" s="92" t="s">
        <v>423</v>
      </c>
      <c r="B12" s="92" t="s">
        <v>424</v>
      </c>
      <c r="C12" s="92" t="s">
        <v>404</v>
      </c>
      <c r="D12" s="92" t="s">
        <v>484</v>
      </c>
      <c r="E12" s="93">
        <v>2540</v>
      </c>
      <c r="F12" s="98" t="str">
        <f t="shared" si="2"/>
        <v>000830</v>
      </c>
      <c r="G12" s="31" t="str">
        <f t="shared" si="0"/>
        <v xml:space="preserve">Масленников Платон Алексеевич                     </v>
      </c>
      <c r="H12" s="31" t="str">
        <f t="shared" si="3"/>
        <v>5б род апрель</v>
      </c>
      <c r="I12" s="94" t="s">
        <v>387</v>
      </c>
      <c r="J12" s="31">
        <v>92701000</v>
      </c>
      <c r="M12" s="31">
        <f t="shared" si="1"/>
        <v>2540</v>
      </c>
    </row>
    <row r="13" spans="1:13" x14ac:dyDescent="0.25">
      <c r="A13" s="92" t="s">
        <v>425</v>
      </c>
      <c r="B13" s="92" t="s">
        <v>426</v>
      </c>
      <c r="C13" s="92" t="s">
        <v>404</v>
      </c>
      <c r="D13" s="92" t="s">
        <v>484</v>
      </c>
      <c r="E13" s="93">
        <v>4849.07</v>
      </c>
      <c r="F13" s="98" t="str">
        <f t="shared" si="2"/>
        <v>000771</v>
      </c>
      <c r="G13" s="31" t="str">
        <f t="shared" si="0"/>
        <v xml:space="preserve">Махмутов Ахмад Ильясович                          </v>
      </c>
      <c r="H13" s="31" t="str">
        <f t="shared" si="3"/>
        <v>5б род апрель</v>
      </c>
      <c r="I13" s="94" t="s">
        <v>387</v>
      </c>
      <c r="J13" s="31">
        <v>92701000</v>
      </c>
      <c r="M13" s="31">
        <f t="shared" si="1"/>
        <v>4849.07</v>
      </c>
    </row>
    <row r="14" spans="1:13" x14ac:dyDescent="0.25">
      <c r="A14" s="92" t="s">
        <v>427</v>
      </c>
      <c r="B14" s="92" t="s">
        <v>428</v>
      </c>
      <c r="C14" s="92" t="s">
        <v>404</v>
      </c>
      <c r="D14" s="92" t="s">
        <v>484</v>
      </c>
      <c r="E14" s="93">
        <v>5030.8900000000003</v>
      </c>
      <c r="F14" s="98" t="str">
        <f t="shared" si="2"/>
        <v>000756</v>
      </c>
      <c r="G14" s="31" t="str">
        <f t="shared" si="0"/>
        <v xml:space="preserve">Мухаметзянов Алим Айратович                       </v>
      </c>
      <c r="H14" s="31" t="str">
        <f t="shared" si="3"/>
        <v>5б род апрель</v>
      </c>
      <c r="I14" s="94" t="s">
        <v>387</v>
      </c>
      <c r="J14" s="31">
        <v>92701000</v>
      </c>
      <c r="M14" s="31">
        <f t="shared" si="1"/>
        <v>5030.8900000000003</v>
      </c>
    </row>
    <row r="15" spans="1:13" x14ac:dyDescent="0.25">
      <c r="A15" s="92" t="s">
        <v>429</v>
      </c>
      <c r="B15" s="92" t="s">
        <v>430</v>
      </c>
      <c r="C15" s="92" t="s">
        <v>404</v>
      </c>
      <c r="D15" s="92" t="s">
        <v>484</v>
      </c>
      <c r="E15" s="93">
        <v>2540.0700000000002</v>
      </c>
      <c r="F15" s="98" t="str">
        <f t="shared" si="2"/>
        <v>000773</v>
      </c>
      <c r="G15" s="31" t="str">
        <f t="shared" si="0"/>
        <v xml:space="preserve">Мухлисов Азамат Рустамович                        </v>
      </c>
      <c r="H15" s="31" t="str">
        <f t="shared" si="3"/>
        <v>5б род апрель</v>
      </c>
      <c r="I15" s="94" t="s">
        <v>387</v>
      </c>
      <c r="J15" s="31">
        <v>92701000</v>
      </c>
      <c r="M15" s="31">
        <f t="shared" si="1"/>
        <v>2540.0700000000002</v>
      </c>
    </row>
    <row r="16" spans="1:13" x14ac:dyDescent="0.25">
      <c r="A16" s="92" t="s">
        <v>431</v>
      </c>
      <c r="B16" s="92" t="s">
        <v>432</v>
      </c>
      <c r="C16" s="92" t="s">
        <v>404</v>
      </c>
      <c r="D16" s="92" t="s">
        <v>484</v>
      </c>
      <c r="E16" s="93">
        <v>6441.12</v>
      </c>
      <c r="F16" s="98" t="str">
        <f t="shared" si="2"/>
        <v>000831</v>
      </c>
      <c r="G16" s="31" t="str">
        <f t="shared" si="0"/>
        <v xml:space="preserve">Нуртдинов Ибрагим Вадимович                       </v>
      </c>
      <c r="H16" s="31" t="str">
        <f t="shared" si="3"/>
        <v>5б род апрель</v>
      </c>
      <c r="I16" s="94" t="s">
        <v>387</v>
      </c>
      <c r="J16" s="31">
        <v>92701000</v>
      </c>
      <c r="M16" s="31">
        <v>2153.7800000000002</v>
      </c>
    </row>
    <row r="17" spans="1:13" x14ac:dyDescent="0.25">
      <c r="A17" s="92" t="s">
        <v>433</v>
      </c>
      <c r="B17" s="92" t="s">
        <v>434</v>
      </c>
      <c r="C17" s="92" t="s">
        <v>404</v>
      </c>
      <c r="D17" s="92" t="s">
        <v>484</v>
      </c>
      <c r="E17" s="93">
        <v>4588.8</v>
      </c>
      <c r="F17" s="98" t="str">
        <f t="shared" si="2"/>
        <v>000832</v>
      </c>
      <c r="G17" s="31" t="str">
        <f t="shared" si="0"/>
        <v xml:space="preserve">Садыйков Эмир Дамирович                           </v>
      </c>
      <c r="H17" s="31" t="str">
        <f t="shared" si="3"/>
        <v>5б род апрель</v>
      </c>
      <c r="I17" s="94" t="s">
        <v>387</v>
      </c>
      <c r="J17" s="31">
        <v>92701000</v>
      </c>
      <c r="M17" s="31">
        <f t="shared" si="1"/>
        <v>4588.8</v>
      </c>
    </row>
    <row r="18" spans="1:13" x14ac:dyDescent="0.25">
      <c r="A18" s="92" t="s">
        <v>435</v>
      </c>
      <c r="B18" s="92" t="s">
        <v>436</v>
      </c>
      <c r="C18" s="92" t="s">
        <v>404</v>
      </c>
      <c r="D18" s="92" t="s">
        <v>484</v>
      </c>
      <c r="E18" s="93">
        <v>5330.56</v>
      </c>
      <c r="F18" s="98" t="str">
        <f t="shared" si="2"/>
        <v>000762</v>
      </c>
      <c r="G18" s="31" t="str">
        <f t="shared" si="0"/>
        <v xml:space="preserve">Саляхов Ибрахим Ленарович                         </v>
      </c>
      <c r="H18" s="31" t="str">
        <f t="shared" si="3"/>
        <v>5б род апрель</v>
      </c>
      <c r="I18" s="94" t="s">
        <v>387</v>
      </c>
      <c r="J18" s="31">
        <v>92701000</v>
      </c>
      <c r="M18" s="31">
        <f t="shared" si="1"/>
        <v>5330.56</v>
      </c>
    </row>
    <row r="19" spans="1:13" x14ac:dyDescent="0.25">
      <c r="A19" s="92" t="s">
        <v>437</v>
      </c>
      <c r="B19" s="92" t="s">
        <v>438</v>
      </c>
      <c r="C19" s="92" t="s">
        <v>404</v>
      </c>
      <c r="D19" s="92" t="s">
        <v>484</v>
      </c>
      <c r="E19" s="93">
        <v>2540</v>
      </c>
      <c r="F19" s="98" t="str">
        <f t="shared" si="2"/>
        <v>000748</v>
      </c>
      <c r="G19" s="31" t="str">
        <f t="shared" si="0"/>
        <v xml:space="preserve">Сафиуллин Тимур Ильдарович                        </v>
      </c>
      <c r="H19" s="31" t="str">
        <f t="shared" si="3"/>
        <v>5б род апрель</v>
      </c>
      <c r="I19" s="94" t="s">
        <v>387</v>
      </c>
      <c r="J19" s="31">
        <v>92701000</v>
      </c>
      <c r="M19" s="31">
        <f t="shared" si="1"/>
        <v>2540</v>
      </c>
    </row>
    <row r="20" spans="1:13" x14ac:dyDescent="0.25">
      <c r="A20" s="92" t="s">
        <v>439</v>
      </c>
      <c r="B20" s="92" t="s">
        <v>440</v>
      </c>
      <c r="C20" s="92" t="s">
        <v>404</v>
      </c>
      <c r="D20" s="92" t="s">
        <v>484</v>
      </c>
      <c r="E20" s="93">
        <v>4849.07</v>
      </c>
      <c r="F20" s="98" t="str">
        <f t="shared" si="2"/>
        <v>000761</v>
      </c>
      <c r="G20" s="31" t="str">
        <f t="shared" si="0"/>
        <v xml:space="preserve">Усманов Султан Салаватович                        </v>
      </c>
      <c r="H20" s="31" t="str">
        <f t="shared" si="3"/>
        <v>5б род апрель</v>
      </c>
      <c r="I20" s="94" t="s">
        <v>387</v>
      </c>
      <c r="J20" s="31">
        <v>92701000</v>
      </c>
      <c r="M20" s="31">
        <f t="shared" si="1"/>
        <v>4849.07</v>
      </c>
    </row>
    <row r="21" spans="1:13" x14ac:dyDescent="0.25">
      <c r="A21" s="92" t="s">
        <v>441</v>
      </c>
      <c r="B21" s="92" t="s">
        <v>442</v>
      </c>
      <c r="C21" s="92" t="s">
        <v>404</v>
      </c>
      <c r="D21" s="92" t="s">
        <v>484</v>
      </c>
      <c r="E21" s="93">
        <v>4849.07</v>
      </c>
      <c r="F21" s="98" t="str">
        <f t="shared" si="2"/>
        <v>000833</v>
      </c>
      <c r="G21" s="31" t="str">
        <f t="shared" si="0"/>
        <v xml:space="preserve">Хафизов Джамиль Ильшатович                        </v>
      </c>
      <c r="H21" s="31" t="str">
        <f t="shared" si="3"/>
        <v>5б род апрель</v>
      </c>
      <c r="I21" s="94" t="s">
        <v>387</v>
      </c>
      <c r="J21" s="31">
        <v>92701000</v>
      </c>
      <c r="M21" s="31">
        <f t="shared" si="1"/>
        <v>4849.07</v>
      </c>
    </row>
    <row r="22" spans="1:13" x14ac:dyDescent="0.25">
      <c r="A22" s="92" t="s">
        <v>443</v>
      </c>
      <c r="B22" s="92" t="s">
        <v>444</v>
      </c>
      <c r="C22" s="92" t="s">
        <v>404</v>
      </c>
      <c r="D22" s="92" t="s">
        <v>484</v>
      </c>
      <c r="E22" s="93">
        <v>14333.31</v>
      </c>
      <c r="F22" s="98" t="str">
        <f t="shared" si="2"/>
        <v>000727</v>
      </c>
      <c r="G22" s="31" t="str">
        <f t="shared" si="0"/>
        <v xml:space="preserve">Хисамутдинов Карим Альфирович                     </v>
      </c>
      <c r="H22" s="31" t="str">
        <f t="shared" si="3"/>
        <v>5б род апрель</v>
      </c>
      <c r="I22" s="94" t="s">
        <v>387</v>
      </c>
      <c r="J22" s="31">
        <v>92701000</v>
      </c>
      <c r="M22" s="31">
        <f t="shared" si="1"/>
        <v>14333.31</v>
      </c>
    </row>
    <row r="23" spans="1:13" x14ac:dyDescent="0.25">
      <c r="A23" s="92" t="s">
        <v>445</v>
      </c>
      <c r="B23" s="92" t="s">
        <v>446</v>
      </c>
      <c r="C23" s="92" t="s">
        <v>404</v>
      </c>
      <c r="D23" s="92" t="s">
        <v>484</v>
      </c>
      <c r="E23" s="93">
        <v>4849.28</v>
      </c>
      <c r="F23" s="98" t="str">
        <f t="shared" si="2"/>
        <v>000779</v>
      </c>
      <c r="G23" s="31" t="str">
        <f t="shared" si="0"/>
        <v xml:space="preserve">Шафигуллин Юсуф Радикович                         </v>
      </c>
      <c r="H23" s="31" t="str">
        <f t="shared" si="3"/>
        <v>5б род апрель</v>
      </c>
      <c r="I23" s="94" t="s">
        <v>387</v>
      </c>
      <c r="J23" s="31">
        <v>92701000</v>
      </c>
      <c r="M23" s="31">
        <f t="shared" si="1"/>
        <v>4849.28</v>
      </c>
    </row>
    <row r="24" spans="1:13" x14ac:dyDescent="0.25">
      <c r="A24" s="92" t="s">
        <v>447</v>
      </c>
      <c r="B24" s="92" t="s">
        <v>448</v>
      </c>
      <c r="C24" s="92" t="s">
        <v>404</v>
      </c>
      <c r="D24" s="92" t="s">
        <v>484</v>
      </c>
      <c r="E24" s="93">
        <v>2540</v>
      </c>
      <c r="F24" s="98" t="str">
        <f t="shared" si="2"/>
        <v>000750</v>
      </c>
      <c r="G24" s="31" t="str">
        <f t="shared" si="0"/>
        <v xml:space="preserve">Щербицкий Ярослав Владимирович                    </v>
      </c>
      <c r="H24" s="31" t="str">
        <f t="shared" si="3"/>
        <v>5б род апрель</v>
      </c>
      <c r="I24" s="94" t="s">
        <v>387</v>
      </c>
      <c r="J24" s="31">
        <v>92701000</v>
      </c>
      <c r="M24" s="31">
        <f t="shared" si="1"/>
        <v>2540</v>
      </c>
    </row>
    <row r="25" spans="1:13" x14ac:dyDescent="0.25">
      <c r="A25" s="92" t="s">
        <v>397</v>
      </c>
      <c r="B25" s="92" t="s">
        <v>398</v>
      </c>
      <c r="C25" s="92" t="s">
        <v>396</v>
      </c>
      <c r="D25" s="92" t="s">
        <v>395</v>
      </c>
      <c r="E25" s="93">
        <v>3814.58</v>
      </c>
      <c r="F25" s="98" t="str">
        <f t="shared" si="2"/>
        <v>00345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доп сент-окт</v>
      </c>
      <c r="I25" s="94" t="s">
        <v>387</v>
      </c>
      <c r="J25" s="31">
        <v>92701000</v>
      </c>
      <c r="M25" s="31">
        <f t="shared" si="1"/>
        <v>3814.58</v>
      </c>
    </row>
    <row r="26" spans="1:13" x14ac:dyDescent="0.25">
      <c r="A26" s="92" t="s">
        <v>399</v>
      </c>
      <c r="B26" s="92" t="s">
        <v>400</v>
      </c>
      <c r="C26" s="92" t="s">
        <v>396</v>
      </c>
      <c r="D26" s="92" t="s">
        <v>395</v>
      </c>
      <c r="E26" s="93">
        <v>8540</v>
      </c>
      <c r="F26" s="98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4" t="s">
        <v>387</v>
      </c>
      <c r="J26" s="31">
        <v>92701000</v>
      </c>
      <c r="M26" s="31">
        <f t="shared" si="1"/>
        <v>8540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9"/>
  <sheetViews>
    <sheetView tabSelected="1" workbookViewId="0">
      <pane ySplit="6" topLeftCell="A7" activePane="bottomLeft" state="frozen"/>
      <selection activeCell="A2" sqref="A2"/>
      <selection pane="bottomLeft" activeCell="A7" sqref="A7:H29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1657032924_03234643927010001100__14.04.2023.TXT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128455.1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23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402</v>
      </c>
      <c r="B7" s="84" t="s">
        <v>403</v>
      </c>
      <c r="C7" s="84" t="s">
        <v>485</v>
      </c>
      <c r="D7" s="84" t="s">
        <v>387</v>
      </c>
      <c r="E7" s="87">
        <v>92701000</v>
      </c>
      <c r="F7" s="84"/>
      <c r="G7" s="84"/>
      <c r="H7" s="86">
        <v>5330.56</v>
      </c>
    </row>
    <row r="8" spans="1:8" x14ac:dyDescent="0.25">
      <c r="A8" s="95" t="s">
        <v>405</v>
      </c>
      <c r="B8" s="95" t="s">
        <v>406</v>
      </c>
      <c r="C8" s="95" t="s">
        <v>485</v>
      </c>
      <c r="D8" s="95" t="s">
        <v>387</v>
      </c>
      <c r="E8" s="95">
        <v>92701000</v>
      </c>
      <c r="F8" s="95"/>
      <c r="G8" s="95"/>
      <c r="H8" s="96">
        <v>9917.93</v>
      </c>
    </row>
    <row r="9" spans="1:8" x14ac:dyDescent="0.25">
      <c r="A9" s="95" t="s">
        <v>407</v>
      </c>
      <c r="B9" s="95" t="s">
        <v>408</v>
      </c>
      <c r="C9" s="95" t="s">
        <v>485</v>
      </c>
      <c r="D9" s="95" t="s">
        <v>387</v>
      </c>
      <c r="E9" s="95">
        <v>92701000</v>
      </c>
      <c r="F9" s="95"/>
      <c r="G9" s="95"/>
      <c r="H9" s="96">
        <v>5330.56</v>
      </c>
    </row>
    <row r="10" spans="1:8" x14ac:dyDescent="0.25">
      <c r="A10" s="95" t="s">
        <v>409</v>
      </c>
      <c r="B10" s="95" t="s">
        <v>410</v>
      </c>
      <c r="C10" s="95" t="s">
        <v>485</v>
      </c>
      <c r="D10" s="95" t="s">
        <v>387</v>
      </c>
      <c r="E10" s="95">
        <v>92701000</v>
      </c>
      <c r="F10" s="95"/>
      <c r="G10" s="95"/>
      <c r="H10" s="96">
        <v>16711.12</v>
      </c>
    </row>
    <row r="11" spans="1:8" x14ac:dyDescent="0.25">
      <c r="A11" s="95" t="s">
        <v>411</v>
      </c>
      <c r="B11" s="95" t="s">
        <v>412</v>
      </c>
      <c r="C11" s="95" t="s">
        <v>485</v>
      </c>
      <c r="D11" s="95" t="s">
        <v>387</v>
      </c>
      <c r="E11" s="95">
        <v>92701000</v>
      </c>
      <c r="F11" s="95"/>
      <c r="G11" s="95"/>
      <c r="H11" s="96">
        <v>2620.2800000000002</v>
      </c>
    </row>
    <row r="12" spans="1:8" x14ac:dyDescent="0.25">
      <c r="A12" s="95" t="s">
        <v>413</v>
      </c>
      <c r="B12" s="95" t="s">
        <v>414</v>
      </c>
      <c r="C12" s="95" t="s">
        <v>485</v>
      </c>
      <c r="D12" s="95" t="s">
        <v>387</v>
      </c>
      <c r="E12" s="95">
        <v>92701000</v>
      </c>
      <c r="F12" s="95"/>
      <c r="G12" s="95"/>
      <c r="H12" s="96">
        <v>4849.07</v>
      </c>
    </row>
    <row r="13" spans="1:8" x14ac:dyDescent="0.25">
      <c r="A13" s="95" t="s">
        <v>415</v>
      </c>
      <c r="B13" s="95" t="s">
        <v>416</v>
      </c>
      <c r="C13" s="95" t="s">
        <v>485</v>
      </c>
      <c r="D13" s="95" t="s">
        <v>387</v>
      </c>
      <c r="E13" s="95">
        <v>92701000</v>
      </c>
      <c r="F13" s="95"/>
      <c r="G13" s="95"/>
      <c r="H13" s="96">
        <v>2540</v>
      </c>
    </row>
    <row r="14" spans="1:8" x14ac:dyDescent="0.25">
      <c r="A14" s="95" t="s">
        <v>417</v>
      </c>
      <c r="B14" s="95" t="s">
        <v>418</v>
      </c>
      <c r="C14" s="95" t="s">
        <v>485</v>
      </c>
      <c r="D14" s="95" t="s">
        <v>387</v>
      </c>
      <c r="E14" s="95">
        <v>92701000</v>
      </c>
      <c r="F14" s="95"/>
      <c r="G14" s="95"/>
      <c r="H14" s="96">
        <v>2292.33</v>
      </c>
    </row>
    <row r="15" spans="1:8" x14ac:dyDescent="0.25">
      <c r="A15" s="95" t="s">
        <v>419</v>
      </c>
      <c r="B15" s="95" t="s">
        <v>420</v>
      </c>
      <c r="C15" s="95" t="s">
        <v>485</v>
      </c>
      <c r="D15" s="95" t="s">
        <v>387</v>
      </c>
      <c r="E15" s="95">
        <v>92701000</v>
      </c>
      <c r="F15" s="95"/>
      <c r="G15" s="95"/>
      <c r="H15" s="96">
        <v>4849.07</v>
      </c>
    </row>
    <row r="16" spans="1:8" x14ac:dyDescent="0.25">
      <c r="A16" s="95" t="s">
        <v>421</v>
      </c>
      <c r="B16" s="95" t="s">
        <v>422</v>
      </c>
      <c r="C16" s="95" t="s">
        <v>485</v>
      </c>
      <c r="D16" s="95" t="s">
        <v>387</v>
      </c>
      <c r="E16" s="95">
        <v>92701000</v>
      </c>
      <c r="F16" s="95"/>
      <c r="G16" s="95"/>
      <c r="H16" s="96">
        <v>13020.28</v>
      </c>
    </row>
    <row r="17" spans="1:8" x14ac:dyDescent="0.25">
      <c r="A17" s="95" t="s">
        <v>423</v>
      </c>
      <c r="B17" s="95" t="s">
        <v>424</v>
      </c>
      <c r="C17" s="95" t="s">
        <v>485</v>
      </c>
      <c r="D17" s="95" t="s">
        <v>387</v>
      </c>
      <c r="E17" s="95">
        <v>92701000</v>
      </c>
      <c r="F17" s="95"/>
      <c r="G17" s="95"/>
      <c r="H17" s="96">
        <v>2540</v>
      </c>
    </row>
    <row r="18" spans="1:8" x14ac:dyDescent="0.25">
      <c r="A18" s="95" t="s">
        <v>425</v>
      </c>
      <c r="B18" s="95" t="s">
        <v>426</v>
      </c>
      <c r="C18" s="95" t="s">
        <v>485</v>
      </c>
      <c r="D18" s="95" t="s">
        <v>387</v>
      </c>
      <c r="E18" s="95">
        <v>92701000</v>
      </c>
      <c r="F18" s="95"/>
      <c r="G18" s="95"/>
      <c r="H18" s="96">
        <v>4849.07</v>
      </c>
    </row>
    <row r="19" spans="1:8" x14ac:dyDescent="0.25">
      <c r="A19" s="95" t="s">
        <v>427</v>
      </c>
      <c r="B19" s="95" t="s">
        <v>428</v>
      </c>
      <c r="C19" s="95" t="s">
        <v>485</v>
      </c>
      <c r="D19" s="95" t="s">
        <v>387</v>
      </c>
      <c r="E19" s="95">
        <v>92701000</v>
      </c>
      <c r="F19" s="95"/>
      <c r="G19" s="95"/>
      <c r="H19" s="96">
        <v>5030.8900000000003</v>
      </c>
    </row>
    <row r="20" spans="1:8" x14ac:dyDescent="0.25">
      <c r="A20" s="95" t="s">
        <v>429</v>
      </c>
      <c r="B20" s="95" t="s">
        <v>430</v>
      </c>
      <c r="C20" s="95" t="s">
        <v>485</v>
      </c>
      <c r="D20" s="95" t="s">
        <v>387</v>
      </c>
      <c r="E20" s="95">
        <v>92701000</v>
      </c>
      <c r="F20" s="95"/>
      <c r="G20" s="95"/>
      <c r="H20" s="96">
        <v>2540.0700000000002</v>
      </c>
    </row>
    <row r="21" spans="1:8" x14ac:dyDescent="0.25">
      <c r="A21" s="95" t="s">
        <v>431</v>
      </c>
      <c r="B21" s="95" t="s">
        <v>432</v>
      </c>
      <c r="C21" s="95" t="s">
        <v>485</v>
      </c>
      <c r="D21" s="95" t="s">
        <v>387</v>
      </c>
      <c r="E21" s="95">
        <v>92701000</v>
      </c>
      <c r="F21" s="95"/>
      <c r="G21" s="95"/>
      <c r="H21" s="96">
        <v>2153.7800000000002</v>
      </c>
    </row>
    <row r="22" spans="1:8" x14ac:dyDescent="0.25">
      <c r="A22" s="95" t="s">
        <v>433</v>
      </c>
      <c r="B22" s="95" t="s">
        <v>434</v>
      </c>
      <c r="C22" s="95" t="s">
        <v>485</v>
      </c>
      <c r="D22" s="95" t="s">
        <v>387</v>
      </c>
      <c r="E22" s="95">
        <v>92701000</v>
      </c>
      <c r="F22" s="95"/>
      <c r="G22" s="95"/>
      <c r="H22" s="96">
        <v>4588.8</v>
      </c>
    </row>
    <row r="23" spans="1:8" x14ac:dyDescent="0.25">
      <c r="A23" s="95" t="s">
        <v>435</v>
      </c>
      <c r="B23" s="95" t="s">
        <v>436</v>
      </c>
      <c r="C23" s="95" t="s">
        <v>485</v>
      </c>
      <c r="D23" s="95" t="s">
        <v>387</v>
      </c>
      <c r="E23" s="95">
        <v>92701000</v>
      </c>
      <c r="F23" s="95"/>
      <c r="G23" s="95"/>
      <c r="H23" s="96">
        <v>5330.56</v>
      </c>
    </row>
    <row r="24" spans="1:8" x14ac:dyDescent="0.25">
      <c r="A24" s="95" t="s">
        <v>437</v>
      </c>
      <c r="B24" s="95" t="s">
        <v>438</v>
      </c>
      <c r="C24" s="95" t="s">
        <v>485</v>
      </c>
      <c r="D24" s="95" t="s">
        <v>387</v>
      </c>
      <c r="E24" s="95">
        <v>92701000</v>
      </c>
      <c r="F24" s="95"/>
      <c r="G24" s="95"/>
      <c r="H24" s="96">
        <v>2540</v>
      </c>
    </row>
    <row r="25" spans="1:8" x14ac:dyDescent="0.25">
      <c r="A25" s="95" t="s">
        <v>439</v>
      </c>
      <c r="B25" s="95" t="s">
        <v>440</v>
      </c>
      <c r="C25" s="95" t="s">
        <v>485</v>
      </c>
      <c r="D25" s="95" t="s">
        <v>387</v>
      </c>
      <c r="E25" s="95">
        <v>92701000</v>
      </c>
      <c r="F25" s="95"/>
      <c r="G25" s="95"/>
      <c r="H25" s="96">
        <v>4849.07</v>
      </c>
    </row>
    <row r="26" spans="1:8" x14ac:dyDescent="0.25">
      <c r="A26" s="95" t="s">
        <v>441</v>
      </c>
      <c r="B26" s="95" t="s">
        <v>442</v>
      </c>
      <c r="C26" s="95" t="s">
        <v>485</v>
      </c>
      <c r="D26" s="95" t="s">
        <v>387</v>
      </c>
      <c r="E26" s="95">
        <v>92701000</v>
      </c>
      <c r="F26" s="95"/>
      <c r="G26" s="95"/>
      <c r="H26" s="96">
        <v>4849.07</v>
      </c>
    </row>
    <row r="27" spans="1:8" x14ac:dyDescent="0.25">
      <c r="A27" s="95" t="s">
        <v>443</v>
      </c>
      <c r="B27" s="95" t="s">
        <v>444</v>
      </c>
      <c r="C27" s="95" t="s">
        <v>485</v>
      </c>
      <c r="D27" s="95" t="s">
        <v>387</v>
      </c>
      <c r="E27" s="95">
        <v>92701000</v>
      </c>
      <c r="F27" s="95"/>
      <c r="G27" s="95"/>
      <c r="H27" s="96">
        <v>14333.31</v>
      </c>
    </row>
    <row r="28" spans="1:8" x14ac:dyDescent="0.25">
      <c r="A28" s="95" t="s">
        <v>445</v>
      </c>
      <c r="B28" s="95" t="s">
        <v>446</v>
      </c>
      <c r="C28" s="95" t="s">
        <v>485</v>
      </c>
      <c r="D28" s="95" t="s">
        <v>387</v>
      </c>
      <c r="E28" s="95">
        <v>92701000</v>
      </c>
      <c r="F28" s="95"/>
      <c r="G28" s="95"/>
      <c r="H28" s="96">
        <v>4849.28</v>
      </c>
    </row>
    <row r="29" spans="1:8" x14ac:dyDescent="0.25">
      <c r="A29" s="95" t="s">
        <v>447</v>
      </c>
      <c r="B29" s="95" t="s">
        <v>448</v>
      </c>
      <c r="C29" s="95" t="s">
        <v>485</v>
      </c>
      <c r="D29" s="95" t="s">
        <v>387</v>
      </c>
      <c r="E29" s="95">
        <v>92701000</v>
      </c>
      <c r="F29" s="95"/>
      <c r="G29" s="95"/>
      <c r="H29" s="96">
        <v>2540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9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9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9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9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9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401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21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450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451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450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451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452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453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452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453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454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455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454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455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456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457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456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457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458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459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458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459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460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461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460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461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462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463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462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463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464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461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464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461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465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463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465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463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466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467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466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467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468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469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468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469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470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471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470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471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472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455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472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455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473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463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473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463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474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449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474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449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475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475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476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455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476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455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477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463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477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463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478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463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478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463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479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463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479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463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480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481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480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481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482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471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482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471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483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463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483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463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</sheetData>
  <mergeCells count="23">
    <mergeCell ref="A162:C162"/>
    <mergeCell ref="A27:C27"/>
    <mergeCell ref="A54:C54"/>
    <mergeCell ref="A81:C81"/>
    <mergeCell ref="A108:C108"/>
    <mergeCell ref="A135:C135"/>
    <mergeCell ref="A486:C486"/>
    <mergeCell ref="A189:C189"/>
    <mergeCell ref="A216:C216"/>
    <mergeCell ref="A243:C243"/>
    <mergeCell ref="A270:C270"/>
    <mergeCell ref="A297:C297"/>
    <mergeCell ref="A324:C324"/>
    <mergeCell ref="A351:C351"/>
    <mergeCell ref="A378:C378"/>
    <mergeCell ref="A405:C405"/>
    <mergeCell ref="A432:C432"/>
    <mergeCell ref="A459:C459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3" manualBreakCount="23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2023-02-21T13:58:32Z</cp:lastPrinted>
  <dcterms:created xsi:type="dcterms:W3CDTF">2012-02-27T08:19:11Z</dcterms:created>
  <dcterms:modified xsi:type="dcterms:W3CDTF">2023-04-14T05:57:45Z</dcterms:modified>
</cp:coreProperties>
</file>